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b74b149a84d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Pay" sheetId="1" r:id="Re71a36f0ee734556"/>
    <x:sheet xmlns:r="http://schemas.openxmlformats.org/officeDocument/2006/relationships" name="Expenses" sheetId="2" r:id="R5ca9bc73e5324a0e"/>
    <x:sheet xmlns:r="http://schemas.openxmlformats.org/officeDocument/2006/relationships" name="State Miles" sheetId="3" r:id="R7b8e4d745d1743e6"/>
    <x:sheet xmlns:r="http://schemas.openxmlformats.org/officeDocument/2006/relationships" name="Routes" sheetId="4" r:id="R4a51ba1e05c74d7b"/>
    <x:sheet xmlns:r="http://schemas.openxmlformats.org/officeDocument/2006/relationships" name="Fuel &amp; DEF" sheetId="5" r:id="R9ed649a4c0fe4ed1"/>
    <x:sheet xmlns:r="http://schemas.openxmlformats.org/officeDocument/2006/relationships" name="Advances" sheetId="6" r:id="R740669ccb21b4fc9"/>
    <x:sheet xmlns:r="http://schemas.openxmlformats.org/officeDocument/2006/relationships" name="PDF Field Mapping" sheetId="7" r:id="R3679b7e0e3ce4a41"/>
    <x:sheet xmlns:r="http://schemas.openxmlformats.org/officeDocument/2006/relationships" name="PDF Export Instructions" sheetId="8" r:id="Ra529b49c5fcc45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mm/dd/yy"/>
    <x:numFmt numFmtId="201" formatCode="$0.00"/>
    <x:numFmt numFmtId="202" formatCode="0%"/>
    <x:numFmt numFmtId="203" formatCode="#,##0"/>
    <x:numFmt numFmtId="204" formatCode="$#,##0.00;($#,##0.00);-"/>
    <x:numFmt numFmtId="205" formatCode="#,##0;(#,##0);-"/>
    <x:numFmt numFmtId="206" formatCode="0"/>
    <x:numFmt numFmtId="207" formatCode="0.00"/>
  </x:numFmts>
  <x:fonts count="14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4"/>
      <x:color rgb="FF111827"/>
      <x:name val="Arial"/>
    </x:font>
    <x:font>
      <x:b/>
      <x:sz val="9"/>
      <x:color rgb="FFFFFFFF"/>
      <x:name val="Arial"/>
    </x:font>
    <x:font>
      <x:i/>
      <x:sz val="9"/>
      <x:color rgb="FF475569"/>
      <x:name val="Arial"/>
    </x:font>
    <x:font>
      <x:i/>
      <x:sz val="10"/>
      <x:color rgb="FF475569"/>
      <x:name val="Arial"/>
    </x:font>
    <x:font>
      <x:b/>
      <x:sz val="10"/>
      <x:color rgb="FF111827"/>
      <x:name val="Arial"/>
    </x:font>
    <x:font>
      <x:b/>
      <x:sz val="9"/>
      <x:color rgb="FFB91C1C"/>
      <x:name val="Arial"/>
    </x:font>
    <x:font>
      <x:b/>
      <x:sz val="10"/>
      <x:color rgb="FFB91C1C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3F6F8"/>
      </x:patternFill>
    </x:fill>
    <x:fill>
      <x:patternFill patternType="solid">
        <x:fgColor rgb="FFFCE8E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3F6F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CE8E6"/>
      </x:patternFill>
    </x:fill>
  </x:fills>
  <x:borders count="41">
    <x:border/>
    <x:border>
      <x:bottom style="thin">
        <x:color rgb="FF17365D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B7C9D6"/>
      </x:left>
      <x:right style="thin">
        <x:color rgb="FFE5E7EB"/>
      </x:right>
      <x:top style="thin">
        <x:color rgb="FFB7C9D6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B7C9D6"/>
      </x:top>
      <x:bottom style="thin">
        <x:color rgb="FFE5E7EB"/>
      </x:bottom>
    </x:border>
    <x:border>
      <x:left style="thin">
        <x:color rgb="FFE5E7EB"/>
      </x:left>
      <x:right style="thin">
        <x:color rgb="FFB7C9D6"/>
      </x:right>
      <x:top style="thin">
        <x:color rgb="FFB7C9D6"/>
      </x:top>
      <x:bottom style="thin">
        <x:color rgb="FFE5E7EB"/>
      </x:bottom>
    </x:border>
    <x:border>
      <x:left style="thin">
        <x:color rgb="FFB7C9D6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B7C9D6"/>
      </x:right>
      <x:top style="thin">
        <x:color rgb="FFE5E7EB"/>
      </x:top>
      <x:bottom style="thin">
        <x:color rgb="FFE5E7EB"/>
      </x:bottom>
    </x:border>
    <x:border>
      <x:left style="thin">
        <x:color rgb="FFB7C9D6"/>
      </x:left>
      <x:right style="thin">
        <x:color rgb="FFE5E7EB"/>
      </x:right>
      <x:top style="thin">
        <x:color rgb="FFE5E7EB"/>
      </x:top>
      <x:bottom style="thin">
        <x:color rgb="FFB7C9D6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B7C9D6"/>
      </x:bottom>
    </x:border>
    <x:border>
      <x:left style="thin">
        <x:color rgb="FFE5E7EB"/>
      </x:left>
      <x:right style="thin">
        <x:color rgb="FFB7C9D6"/>
      </x:right>
      <x:top style="thin">
        <x:color rgb="FFE5E7EB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E5E7EB"/>
      </x:bottom>
    </x:border>
    <x:border>
      <x:left style="thin">
        <x:color rgb="FFB7C9D6"/>
      </x:left>
      <x:right style="thin">
        <x:color rgb="FFB7C9D6"/>
      </x:right>
      <x:top style="thin">
        <x:color rgb="FFE5E7EB"/>
      </x:top>
      <x:bottom style="thin">
        <x:color rgb="FFE5E7EB"/>
      </x:bottom>
    </x:border>
    <x:border>
      <x:left style="thin">
        <x:color rgb="FFB7C9D6"/>
      </x:left>
      <x:right style="thin">
        <x:color rgb="FFB7C9D6"/>
      </x:right>
      <x:top style="thin">
        <x:color rgb="FFE5E7EB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200" fontId="4" fillId="2" borderId="2" xfId="0" applyNumberFormat="1" applyFont="1" applyFill="1" applyBorder="1" applyAlignment="1">
      <x:alignment vertical="center"/>
    </x:xf>
    <x:xf numFmtId="201" fontId="4" fillId="2" borderId="2" xfId="0" applyNumberFormat="1" applyFont="1" applyFill="1" applyBorder="1" applyAlignment="1">
      <x:alignment vertical="center"/>
    </x:xf>
    <x:xf numFmtId="202" fontId="4" fillId="2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horizontal="center" vertical="center"/>
    </x:xf>
    <x:xf numFmtId="203" fontId="7" fillId="4" borderId="0" xfId="0" applyNumberFormat="1" applyFont="1" applyFill="1" applyBorder="1" applyAlignment="1">
      <x:alignment horizontal="center" vertical="center"/>
    </x:xf>
    <x:xf numFmtId="203" fontId="7" fillId="4" borderId="3" xfId="0" applyNumberFormat="1" applyFont="1" applyFill="1" applyBorder="1" applyAlignment="1">
      <x:alignment horizontal="center" vertical="center"/>
    </x:xf>
    <x:xf numFmtId="203" fontId="7" fillId="4" borderId="4" xfId="0" applyNumberFormat="1" applyFont="1" applyFill="1" applyBorder="1" applyAlignment="1">
      <x:alignment horizontal="center" vertical="center"/>
    </x:xf>
    <x:xf numFmtId="203" fontId="7" fillId="4" borderId="5" xfId="0" applyNumberFormat="1" applyFont="1" applyFill="1" applyBorder="1" applyAlignment="1">
      <x:alignment horizontal="center" vertical="center"/>
    </x:xf>
    <x:xf numFmtId="203" fontId="7" fillId="4" borderId="6" xfId="0" applyNumberFormat="1" applyFont="1" applyFill="1" applyBorder="1" applyAlignment="1">
      <x:alignment horizontal="center" vertical="center"/>
    </x:xf>
    <x:xf numFmtId="203" fontId="7" fillId="4" borderId="7" xfId="0" applyNumberFormat="1" applyFont="1" applyFill="1" applyBorder="1" applyAlignment="1">
      <x:alignment horizontal="center" vertical="center"/>
    </x:xf>
    <x:xf numFmtId="203" fontId="7" fillId="4" borderId="8" xfId="0" applyNumberFormat="1" applyFont="1" applyFill="1" applyBorder="1" applyAlignment="1">
      <x:alignment horizontal="center" vertical="center"/>
    </x:xf>
    <x:xf numFmtId="204" fontId="7" fillId="4" borderId="0" xfId="0" applyNumberFormat="1" applyFont="1" applyFill="1" applyBorder="1" applyAlignment="1">
      <x:alignment horizontal="center" vertical="center"/>
    </x:xf>
    <x:xf numFmtId="204" fontId="7" fillId="4" borderId="3" xfId="0" applyNumberFormat="1" applyFont="1" applyFill="1" applyBorder="1" applyAlignment="1">
      <x:alignment horizontal="center" vertical="center"/>
    </x:xf>
    <x:xf numFmtId="204" fontId="7" fillId="4" borderId="4" xfId="0" applyNumberFormat="1" applyFont="1" applyFill="1" applyBorder="1" applyAlignment="1">
      <x:alignment horizontal="center" vertical="center"/>
    </x:xf>
    <x:xf numFmtId="204" fontId="7" fillId="4" borderId="5" xfId="0" applyNumberFormat="1" applyFont="1" applyFill="1" applyBorder="1" applyAlignment="1">
      <x:alignment horizontal="center" vertical="center"/>
    </x:xf>
    <x:xf numFmtId="204" fontId="7" fillId="4" borderId="6" xfId="0" applyNumberFormat="1" applyFont="1" applyFill="1" applyBorder="1" applyAlignment="1">
      <x:alignment horizontal="center" vertical="center"/>
    </x:xf>
    <x:xf numFmtId="204" fontId="7" fillId="4" borderId="7" xfId="0" applyNumberFormat="1" applyFont="1" applyFill="1" applyBorder="1" applyAlignment="1">
      <x:alignment horizontal="center" vertical="center"/>
    </x:xf>
    <x:xf numFmtId="204" fontId="7" fillId="4" borderId="8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8" fillId="5" borderId="9" xfId="0" applyNumberFormat="1" applyFont="1" applyFill="1" applyBorder="1" applyAlignment="1">
      <x:alignment vertical="center"/>
    </x:xf>
    <x:xf numFmtId="0" fontId="8" fillId="5" borderId="9" xfId="0" applyNumberFormat="1" applyFont="1" applyFill="1" applyBorder="1" applyAlignment="1">
      <x:alignment vertical="center" wrapText="1"/>
    </x:xf>
    <x:xf numFmtId="0" fontId="8" fillId="5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17" xfId="0" applyNumberFormat="1" applyFont="1" applyFill="1" applyBorder="1" applyAlignment="1">
      <x:alignment vertical="center"/>
    </x:xf>
    <x:xf numFmtId="0" fontId="1" fillId="0" borderId="18" xfId="0" applyNumberFormat="1" applyFont="1" applyFill="1" applyBorder="1" applyAlignment="1">
      <x:alignment vertical="center"/>
    </x:xf>
    <x:xf numFmtId="0" fontId="1" fillId="2" borderId="10" xfId="0" applyNumberFormat="1" applyFont="1" applyFill="1" applyBorder="1" applyAlignment="1">
      <x:alignment vertical="center"/>
    </x:xf>
    <x:xf numFmtId="0" fontId="1" fillId="2" borderId="11" xfId="0" applyNumberFormat="1" applyFont="1" applyFill="1" applyBorder="1" applyAlignment="1">
      <x:alignment vertical="center"/>
    </x:xf>
    <x:xf numFmtId="0" fontId="1" fillId="2" borderId="12" xfId="0" applyNumberFormat="1" applyFont="1" applyFill="1" applyBorder="1" applyAlignment="1">
      <x:alignment vertical="center"/>
    </x:xf>
    <x:xf numFmtId="0" fontId="1" fillId="2" borderId="13" xfId="0" applyNumberFormat="1" applyFont="1" applyFill="1" applyBorder="1" applyAlignment="1">
      <x:alignment vertical="center"/>
    </x:xf>
    <x:xf numFmtId="0" fontId="1" fillId="2" borderId="14" xfId="0" applyNumberFormat="1" applyFont="1" applyFill="1" applyBorder="1" applyAlignment="1">
      <x:alignment vertical="center"/>
    </x:xf>
    <x:xf numFmtId="0" fontId="1" fillId="2" borderId="15" xfId="0" applyNumberFormat="1" applyFont="1" applyFill="1" applyBorder="1" applyAlignment="1">
      <x:alignment vertical="center"/>
    </x:xf>
    <x:xf numFmtId="0" fontId="1" fillId="2" borderId="16" xfId="0" applyNumberFormat="1" applyFont="1" applyFill="1" applyBorder="1" applyAlignment="1">
      <x:alignment vertical="center"/>
    </x:xf>
    <x:xf numFmtId="0" fontId="1" fillId="2" borderId="17" xfId="0" applyNumberFormat="1" applyFont="1" applyFill="1" applyBorder="1" applyAlignment="1">
      <x:alignment vertical="center"/>
    </x:xf>
    <x:xf numFmtId="0" fontId="1" fillId="2" borderId="18" xfId="0" applyNumberFormat="1" applyFont="1" applyFill="1" applyBorder="1" applyAlignment="1">
      <x:alignment vertical="center"/>
    </x:xf>
    <x:xf numFmtId="0" fontId="4" fillId="2" borderId="10" xfId="0" applyNumberFormat="1" applyFont="1" applyFill="1" applyBorder="1" applyAlignment="1">
      <x:alignment vertical="center"/>
    </x:xf>
    <x:xf numFmtId="0" fontId="4" fillId="2" borderId="11" xfId="0" applyNumberFormat="1" applyFont="1" applyFill="1" applyBorder="1" applyAlignment="1">
      <x:alignment vertical="center"/>
    </x:xf>
    <x:xf numFmtId="0" fontId="4" fillId="2" borderId="12" xfId="0" applyNumberFormat="1" applyFont="1" applyFill="1" applyBorder="1" applyAlignment="1">
      <x:alignment vertical="center"/>
    </x:xf>
    <x:xf numFmtId="0" fontId="4" fillId="2" borderId="13" xfId="0" applyNumberFormat="1" applyFont="1" applyFill="1" applyBorder="1" applyAlignment="1">
      <x:alignment vertical="center"/>
    </x:xf>
    <x:xf numFmtId="0" fontId="4" fillId="2" borderId="14" xfId="0" applyNumberFormat="1" applyFont="1" applyFill="1" applyBorder="1" applyAlignment="1">
      <x:alignment vertical="center"/>
    </x:xf>
    <x:xf numFmtId="0" fontId="4" fillId="2" borderId="15" xfId="0" applyNumberFormat="1" applyFont="1" applyFill="1" applyBorder="1" applyAlignment="1">
      <x:alignment vertical="center"/>
    </x:xf>
    <x:xf numFmtId="0" fontId="4" fillId="2" borderId="16" xfId="0" applyNumberFormat="1" applyFont="1" applyFill="1" applyBorder="1" applyAlignment="1">
      <x:alignment vertical="center"/>
    </x:xf>
    <x:xf numFmtId="0" fontId="4" fillId="2" borderId="17" xfId="0" applyNumberFormat="1" applyFont="1" applyFill="1" applyBorder="1" applyAlignment="1">
      <x:alignment vertical="center"/>
    </x:xf>
    <x:xf numFmtId="0" fontId="4" fillId="2" borderId="18" xfId="0" applyNumberFormat="1" applyFont="1" applyFill="1" applyBorder="1" applyAlignment="1">
      <x:alignment vertical="center"/>
    </x:xf>
    <x:xf numFmtId="0" fontId="4" fillId="2" borderId="19" xfId="0" applyNumberFormat="1" applyFont="1" applyFill="1" applyBorder="1" applyAlignment="1">
      <x:alignment vertical="center"/>
    </x:xf>
    <x:xf numFmtId="0" fontId="4" fillId="2" borderId="20" xfId="0" applyNumberFormat="1" applyFont="1" applyFill="1" applyBorder="1" applyAlignment="1">
      <x:alignment vertical="center"/>
    </x:xf>
    <x:xf numFmtId="0" fontId="4" fillId="2" borderId="21" xfId="0" applyNumberFormat="1" applyFont="1" applyFill="1" applyBorder="1" applyAlignment="1">
      <x:alignment vertical="center"/>
    </x:xf>
    <x:xf numFmtId="0" fontId="4" fillId="2" borderId="22" xfId="0" applyNumberFormat="1" applyFont="1" applyFill="1" applyBorder="1" applyAlignment="1">
      <x:alignment vertical="center"/>
    </x:xf>
    <x:xf numFmtId="0" fontId="4" fillId="2" borderId="23" xfId="0" applyNumberFormat="1" applyFont="1" applyFill="1" applyBorder="1" applyAlignment="1">
      <x:alignment vertical="center"/>
    </x:xf>
    <x:xf numFmtId="0" fontId="4" fillId="2" borderId="24" xfId="0" applyNumberFormat="1" applyFont="1" applyFill="1" applyBorder="1" applyAlignment="1">
      <x:alignment vertical="center"/>
    </x:xf>
    <x:xf numFmtId="0" fontId="4" fillId="2" borderId="25" xfId="0" applyNumberFormat="1" applyFont="1" applyFill="1" applyBorder="1" applyAlignment="1">
      <x:alignment vertical="center"/>
    </x:xf>
    <x:xf numFmtId="0" fontId="4" fillId="2" borderId="26" xfId="0" applyNumberFormat="1" applyFont="1" applyFill="1" applyBorder="1" applyAlignment="1">
      <x:alignment vertical="center"/>
    </x:xf>
    <x:xf numFmtId="0" fontId="4" fillId="2" borderId="27" xfId="0" applyNumberFormat="1" applyFont="1" applyFill="1" applyBorder="1" applyAlignment="1">
      <x:alignment vertical="center"/>
    </x:xf>
    <x:xf numFmtId="0" fontId="4" fillId="2" borderId="28" xfId="0" applyNumberFormat="1" applyFont="1" applyFill="1" applyBorder="1" applyAlignment="1">
      <x:alignment vertical="center"/>
    </x:xf>
    <x:xf numFmtId="0" fontId="4" fillId="2" borderId="29" xfId="0" applyNumberFormat="1" applyFont="1" applyFill="1" applyBorder="1" applyAlignment="1">
      <x:alignment vertical="center"/>
    </x:xf>
    <x:xf numFmtId="0" fontId="4" fillId="2" borderId="30" xfId="0" applyNumberFormat="1" applyFont="1" applyFill="1" applyBorder="1" applyAlignment="1">
      <x:alignment vertical="center"/>
    </x:xf>
    <x:xf numFmtId="0" fontId="4" fillId="2" borderId="31" xfId="0" applyNumberFormat="1" applyFont="1" applyFill="1" applyBorder="1" applyAlignment="1">
      <x:alignment vertical="center"/>
    </x:xf>
    <x:xf numFmtId="0" fontId="4" fillId="2" borderId="32" xfId="0" applyNumberFormat="1" applyFont="1" applyFill="1" applyBorder="1" applyAlignment="1">
      <x:alignment vertical="center"/>
    </x:xf>
    <x:xf numFmtId="0" fontId="1" fillId="4" borderId="10" xfId="0" applyNumberFormat="1" applyFont="1" applyFill="1" applyBorder="1" applyAlignment="1">
      <x:alignment vertical="center"/>
    </x:xf>
    <x:xf numFmtId="0" fontId="1" fillId="4" borderId="13" xfId="0" applyNumberFormat="1" applyFont="1" applyFill="1" applyBorder="1" applyAlignment="1">
      <x:alignment vertical="center"/>
    </x:xf>
    <x:xf numFmtId="0" fontId="1" fillId="4" borderId="16" xfId="0" applyNumberFormat="1" applyFont="1" applyFill="1" applyBorder="1" applyAlignment="1">
      <x:alignment vertical="center"/>
    </x:xf>
    <x:xf numFmtId="0" fontId="6" fillId="4" borderId="10" xfId="0" applyNumberFormat="1" applyFont="1" applyFill="1" applyBorder="1" applyAlignment="1">
      <x:alignment vertical="center"/>
    </x:xf>
    <x:xf numFmtId="0" fontId="6" fillId="4" borderId="13" xfId="0" applyNumberFormat="1" applyFont="1" applyFill="1" applyBorder="1" applyAlignment="1">
      <x:alignment vertical="center"/>
    </x:xf>
    <x:xf numFmtId="0" fontId="6" fillId="4" borderId="16" xfId="0" applyNumberFormat="1" applyFont="1" applyFill="1" applyBorder="1" applyAlignment="1">
      <x:alignment vertical="center"/>
    </x:xf>
    <x:xf numFmtId="0" fontId="1" fillId="4" borderId="11" xfId="0" applyNumberFormat="1" applyFont="1" applyFill="1" applyBorder="1" applyAlignment="1">
      <x:alignment vertical="center"/>
    </x:xf>
    <x:xf numFmtId="0" fontId="1" fillId="4" borderId="14" xfId="0" applyNumberFormat="1" applyFont="1" applyFill="1" applyBorder="1" applyAlignment="1">
      <x:alignment vertical="center"/>
    </x:xf>
    <x:xf numFmtId="0" fontId="1" fillId="4" borderId="17" xfId="0" applyNumberFormat="1" applyFont="1" applyFill="1" applyBorder="1" applyAlignment="1">
      <x:alignment vertical="center"/>
    </x:xf>
    <x:xf numFmtId="0" fontId="6" fillId="4" borderId="11" xfId="0" applyNumberFormat="1" applyFont="1" applyFill="1" applyBorder="1" applyAlignment="1">
      <x:alignment vertical="center"/>
    </x:xf>
    <x:xf numFmtId="0" fontId="6" fillId="4" borderId="14" xfId="0" applyNumberFormat="1" applyFont="1" applyFill="1" applyBorder="1" applyAlignment="1">
      <x:alignment vertical="center"/>
    </x:xf>
    <x:xf numFmtId="0" fontId="6" fillId="4" borderId="17" xfId="0" applyNumberFormat="1" applyFont="1" applyFill="1" applyBorder="1" applyAlignment="1">
      <x:alignment vertical="center"/>
    </x:xf>
    <x:xf numFmtId="0" fontId="1" fillId="4" borderId="12" xfId="0" applyNumberFormat="1" applyFont="1" applyFill="1" applyBorder="1" applyAlignment="1">
      <x:alignment vertical="center"/>
    </x:xf>
    <x:xf numFmtId="0" fontId="1" fillId="4" borderId="15" xfId="0" applyNumberFormat="1" applyFont="1" applyFill="1" applyBorder="1" applyAlignment="1">
      <x:alignment vertical="center"/>
    </x:xf>
    <x:xf numFmtId="0" fontId="1" fillId="4" borderId="18" xfId="0" applyNumberFormat="1" applyFont="1" applyFill="1" applyBorder="1" applyAlignment="1">
      <x:alignment vertical="center"/>
    </x:xf>
    <x:xf numFmtId="0" fontId="6" fillId="4" borderId="12" xfId="0" applyNumberFormat="1" applyFont="1" applyFill="1" applyBorder="1" applyAlignment="1">
      <x:alignment vertical="center"/>
    </x:xf>
    <x:xf numFmtId="0" fontId="6" fillId="4" borderId="15" xfId="0" applyNumberFormat="1" applyFont="1" applyFill="1" applyBorder="1" applyAlignment="1">
      <x:alignment vertical="center"/>
    </x:xf>
    <x:xf numFmtId="0" fontId="6" fillId="4" borderId="18" xfId="0" applyNumberFormat="1" applyFont="1" applyFill="1" applyBorder="1" applyAlignment="1">
      <x:alignment vertical="center"/>
    </x:xf>
    <x:xf numFmtId="200" fontId="4" fillId="2" borderId="19" xfId="0" applyNumberFormat="1" applyFont="1" applyFill="1" applyBorder="1" applyAlignment="1">
      <x:alignment vertical="center"/>
    </x:xf>
    <x:xf numFmtId="200" fontId="4" fillId="2" borderId="20" xfId="0" applyNumberFormat="1" applyFont="1" applyFill="1" applyBorder="1" applyAlignment="1">
      <x:alignment vertical="center"/>
    </x:xf>
    <x:xf numFmtId="200" fontId="4" fillId="2" borderId="22" xfId="0" applyNumberFormat="1" applyFont="1" applyFill="1" applyBorder="1" applyAlignment="1">
      <x:alignment vertical="center"/>
    </x:xf>
    <x:xf numFmtId="200" fontId="4" fillId="2" borderId="14" xfId="0" applyNumberFormat="1" applyFont="1" applyFill="1" applyBorder="1" applyAlignment="1">
      <x:alignment vertical="center"/>
    </x:xf>
    <x:xf numFmtId="200" fontId="4" fillId="2" borderId="24" xfId="0" applyNumberFormat="1" applyFont="1" applyFill="1" applyBorder="1" applyAlignment="1">
      <x:alignment vertical="center"/>
    </x:xf>
    <x:xf numFmtId="200" fontId="4" fillId="2" borderId="25" xfId="0" applyNumberFormat="1" applyFont="1" applyFill="1" applyBorder="1" applyAlignment="1">
      <x:alignment vertical="center"/>
    </x:xf>
    <x:xf numFmtId="203" fontId="4" fillId="2" borderId="20" xfId="0" applyNumberFormat="1" applyFont="1" applyFill="1" applyBorder="1" applyAlignment="1">
      <x:alignment vertical="center"/>
    </x:xf>
    <x:xf numFmtId="203" fontId="4" fillId="2" borderId="21" xfId="0" applyNumberFormat="1" applyFont="1" applyFill="1" applyBorder="1" applyAlignment="1">
      <x:alignment vertical="center"/>
    </x:xf>
    <x:xf numFmtId="203" fontId="6" fillId="4" borderId="10" xfId="0" applyNumberFormat="1" applyFont="1" applyFill="1" applyBorder="1" applyAlignment="1">
      <x:alignment vertical="center"/>
    </x:xf>
    <x:xf numFmtId="203" fontId="4" fillId="2" borderId="19" xfId="0" applyNumberFormat="1" applyFont="1" applyFill="1" applyBorder="1" applyAlignment="1">
      <x:alignment vertical="center"/>
    </x:xf>
    <x:xf numFmtId="203" fontId="4" fillId="2" borderId="14" xfId="0" applyNumberFormat="1" applyFont="1" applyFill="1" applyBorder="1" applyAlignment="1">
      <x:alignment vertical="center"/>
    </x:xf>
    <x:xf numFmtId="203" fontId="4" fillId="2" borderId="23" xfId="0" applyNumberFormat="1" applyFont="1" applyFill="1" applyBorder="1" applyAlignment="1">
      <x:alignment vertical="center"/>
    </x:xf>
    <x:xf numFmtId="203" fontId="6" fillId="4" borderId="13" xfId="0" applyNumberFormat="1" applyFont="1" applyFill="1" applyBorder="1" applyAlignment="1">
      <x:alignment vertical="center"/>
    </x:xf>
    <x:xf numFmtId="203" fontId="4" fillId="2" borderId="22" xfId="0" applyNumberFormat="1" applyFont="1" applyFill="1" applyBorder="1" applyAlignment="1">
      <x:alignment vertical="center"/>
    </x:xf>
    <x:xf numFmtId="203" fontId="4" fillId="2" borderId="25" xfId="0" applyNumberFormat="1" applyFont="1" applyFill="1" applyBorder="1" applyAlignment="1">
      <x:alignment vertical="center"/>
    </x:xf>
    <x:xf numFmtId="203" fontId="4" fillId="2" borderId="26" xfId="0" applyNumberFormat="1" applyFont="1" applyFill="1" applyBorder="1" applyAlignment="1">
      <x:alignment vertical="center"/>
    </x:xf>
    <x:xf numFmtId="203" fontId="6" fillId="4" borderId="16" xfId="0" applyNumberFormat="1" applyFont="1" applyFill="1" applyBorder="1" applyAlignment="1">
      <x:alignment vertical="center"/>
    </x:xf>
    <x:xf numFmtId="203" fontId="4" fillId="2" borderId="24" xfId="0" applyNumberFormat="1" applyFont="1" applyFill="1" applyBorder="1" applyAlignment="1">
      <x:alignment vertical="center"/>
    </x:xf>
    <x:xf numFmtId="201" fontId="4" fillId="2" borderId="21" xfId="0" applyNumberFormat="1" applyFont="1" applyFill="1" applyBorder="1" applyAlignment="1">
      <x:alignment vertical="center"/>
    </x:xf>
    <x:xf numFmtId="201" fontId="4" fillId="2" borderId="23" xfId="0" applyNumberFormat="1" applyFont="1" applyFill="1" applyBorder="1" applyAlignment="1">
      <x:alignment vertical="center"/>
    </x:xf>
    <x:xf numFmtId="201" fontId="4" fillId="2" borderId="26" xfId="0" applyNumberFormat="1" applyFont="1" applyFill="1" applyBorder="1" applyAlignment="1">
      <x:alignment vertical="center"/>
    </x:xf>
    <x:xf numFmtId="204" fontId="6" fillId="4" borderId="11" xfId="0" applyNumberFormat="1" applyFont="1" applyFill="1" applyBorder="1" applyAlignment="1">
      <x:alignment vertical="center"/>
    </x:xf>
    <x:xf numFmtId="204" fontId="4" fillId="2" borderId="19" xfId="0" applyNumberFormat="1" applyFont="1" applyFill="1" applyBorder="1" applyAlignment="1">
      <x:alignment vertical="center"/>
    </x:xf>
    <x:xf numFmtId="204" fontId="4" fillId="2" borderId="20" xfId="0" applyNumberFormat="1" applyFont="1" applyFill="1" applyBorder="1" applyAlignment="1">
      <x:alignment vertical="center"/>
    </x:xf>
    <x:xf numFmtId="204" fontId="4" fillId="2" borderId="21" xfId="0" applyNumberFormat="1" applyFont="1" applyFill="1" applyBorder="1" applyAlignment="1">
      <x:alignment vertical="center"/>
    </x:xf>
    <x:xf numFmtId="204" fontId="4" fillId="2" borderId="27" xfId="0" applyNumberFormat="1" applyFont="1" applyFill="1" applyBorder="1" applyAlignment="1">
      <x:alignment vertical="center"/>
    </x:xf>
    <x:xf numFmtId="204" fontId="6" fillId="4" borderId="12" xfId="0" applyNumberFormat="1" applyFont="1" applyFill="1" applyBorder="1" applyAlignment="1">
      <x:alignment vertical="center"/>
    </x:xf>
    <x:xf numFmtId="204" fontId="6" fillId="4" borderId="14" xfId="0" applyNumberFormat="1" applyFont="1" applyFill="1" applyBorder="1" applyAlignment="1">
      <x:alignment vertical="center"/>
    </x:xf>
    <x:xf numFmtId="204" fontId="4" fillId="2" borderId="22" xfId="0" applyNumberFormat="1" applyFont="1" applyFill="1" applyBorder="1" applyAlignment="1">
      <x:alignment vertical="center"/>
    </x:xf>
    <x:xf numFmtId="204" fontId="4" fillId="2" borderId="14" xfId="0" applyNumberFormat="1" applyFont="1" applyFill="1" applyBorder="1" applyAlignment="1">
      <x:alignment vertical="center"/>
    </x:xf>
    <x:xf numFmtId="204" fontId="4" fillId="2" borderId="23" xfId="0" applyNumberFormat="1" applyFont="1" applyFill="1" applyBorder="1" applyAlignment="1">
      <x:alignment vertical="center"/>
    </x:xf>
    <x:xf numFmtId="204" fontId="4" fillId="2" borderId="28" xfId="0" applyNumberFormat="1" applyFont="1" applyFill="1" applyBorder="1" applyAlignment="1">
      <x:alignment vertical="center"/>
    </x:xf>
    <x:xf numFmtId="204" fontId="6" fillId="4" borderId="15" xfId="0" applyNumberFormat="1" applyFont="1" applyFill="1" applyBorder="1" applyAlignment="1">
      <x:alignment vertical="center"/>
    </x:xf>
    <x:xf numFmtId="204" fontId="6" fillId="4" borderId="17" xfId="0" applyNumberFormat="1" applyFont="1" applyFill="1" applyBorder="1" applyAlignment="1">
      <x:alignment vertical="center"/>
    </x:xf>
    <x:xf numFmtId="204" fontId="4" fillId="2" borderId="24" xfId="0" applyNumberFormat="1" applyFont="1" applyFill="1" applyBorder="1" applyAlignment="1">
      <x:alignment vertical="center"/>
    </x:xf>
    <x:xf numFmtId="204" fontId="4" fillId="2" borderId="25" xfId="0" applyNumberFormat="1" applyFont="1" applyFill="1" applyBorder="1" applyAlignment="1">
      <x:alignment vertical="center"/>
    </x:xf>
    <x:xf numFmtId="204" fontId="4" fillId="2" borderId="26" xfId="0" applyNumberFormat="1" applyFont="1" applyFill="1" applyBorder="1" applyAlignment="1">
      <x:alignment vertical="center"/>
    </x:xf>
    <x:xf numFmtId="204" fontId="4" fillId="2" borderId="29" xfId="0" applyNumberFormat="1" applyFont="1" applyFill="1" applyBorder="1" applyAlignment="1">
      <x:alignment vertical="center"/>
    </x:xf>
    <x:xf numFmtId="204" fontId="6" fillId="4" borderId="18" xfId="0" applyNumberFormat="1" applyFont="1" applyFill="1" applyBorder="1" applyAlignment="1">
      <x:alignment vertical="center"/>
    </x:xf>
    <x:xf numFmtId="0" fontId="4" fillId="2" borderId="20" xfId="0" applyNumberFormat="1" applyFont="1" applyFill="1" applyBorder="1" applyAlignment="1">
      <x:alignment vertical="center" wrapText="1"/>
    </x:xf>
    <x:xf numFmtId="0" fontId="4" fillId="2" borderId="14" xfId="0" applyNumberFormat="1" applyFont="1" applyFill="1" applyBorder="1" applyAlignment="1">
      <x:alignment vertical="center" wrapText="1"/>
    </x:xf>
    <x:xf numFmtId="0" fontId="4" fillId="2" borderId="25" xfId="0" applyNumberFormat="1" applyFont="1" applyFill="1" applyBorder="1" applyAlignment="1">
      <x:alignment vertical="center" wrapText="1"/>
    </x:xf>
    <x:xf numFmtId="0" fontId="4" fillId="2" borderId="30" xfId="0" applyNumberFormat="1" applyFont="1" applyFill="1" applyBorder="1" applyAlignment="1">
      <x:alignment vertical="center" wrapText="1"/>
    </x:xf>
    <x:xf numFmtId="0" fontId="4" fillId="2" borderId="31" xfId="0" applyNumberFormat="1" applyFont="1" applyFill="1" applyBorder="1" applyAlignment="1">
      <x:alignment vertical="center" wrapText="1"/>
    </x:xf>
    <x:xf numFmtId="0" fontId="4" fillId="2" borderId="32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vertical="center"/>
    </x:xf>
    <x:xf numFmtId="0" fontId="4" fillId="2" borderId="33" xfId="0" applyNumberFormat="1" applyFont="1" applyFill="1" applyBorder="1" applyAlignment="1">
      <x:alignment vertical="center"/>
    </x:xf>
    <x:xf numFmtId="0" fontId="4" fillId="2" borderId="34" xfId="0" applyNumberFormat="1" applyFont="1" applyFill="1" applyBorder="1" applyAlignment="1">
      <x:alignment vertical="center"/>
    </x:xf>
    <x:xf numFmtId="0" fontId="4" fillId="2" borderId="6" xfId="0" applyNumberFormat="1" applyFont="1" applyFill="1" applyBorder="1" applyAlignment="1">
      <x:alignment vertical="center"/>
    </x:xf>
    <x:xf numFmtId="0" fontId="4" fillId="2" borderId="7" xfId="0" applyNumberFormat="1" applyFont="1" applyFill="1" applyBorder="1" applyAlignment="1">
      <x:alignment vertical="center"/>
    </x:xf>
    <x:xf numFmtId="0" fontId="4" fillId="2" borderId="8" xfId="0" applyNumberFormat="1" applyFont="1" applyFill="1" applyBorder="1" applyAlignment="1">
      <x:alignment vertical="center"/>
    </x:xf>
    <x:xf numFmtId="200" fontId="4" fillId="2" borderId="3" xfId="0" applyNumberFormat="1" applyFont="1" applyFill="1" applyBorder="1" applyAlignment="1">
      <x:alignment vertical="center"/>
    </x:xf>
    <x:xf numFmtId="200" fontId="4" fillId="2" borderId="33" xfId="0" applyNumberFormat="1" applyFont="1" applyFill="1" applyBorder="1" applyAlignment="1">
      <x:alignment vertical="center"/>
    </x:xf>
    <x:xf numFmtId="200" fontId="4" fillId="2" borderId="6" xfId="0" applyNumberFormat="1" applyFont="1" applyFill="1" applyBorder="1" applyAlignment="1">
      <x:alignment vertical="center"/>
    </x:xf>
    <x:xf numFmtId="204" fontId="4" fillId="2" borderId="4" xfId="0" applyNumberFormat="1" applyFont="1" applyFill="1" applyBorder="1" applyAlignment="1">
      <x:alignment vertical="center"/>
    </x:xf>
    <x:xf numFmtId="204" fontId="4" fillId="2" borderId="5" xfId="0" applyNumberFormat="1" applyFont="1" applyFill="1" applyBorder="1" applyAlignment="1">
      <x:alignment vertical="center"/>
    </x:xf>
    <x:xf numFmtId="204" fontId="4" fillId="2" borderId="0" xfId="0" applyNumberFormat="1" applyFont="1" applyFill="1" applyBorder="1" applyAlignment="1">
      <x:alignment vertical="center"/>
    </x:xf>
    <x:xf numFmtId="204" fontId="4" fillId="2" borderId="34" xfId="0" applyNumberFormat="1" applyFont="1" applyFill="1" applyBorder="1" applyAlignment="1">
      <x:alignment vertical="center"/>
    </x:xf>
    <x:xf numFmtId="204" fontId="4" fillId="2" borderId="7" xfId="0" applyNumberFormat="1" applyFont="1" applyFill="1" applyBorder="1" applyAlignment="1">
      <x:alignment vertical="center"/>
    </x:xf>
    <x:xf numFmtId="204" fontId="4" fillId="2" borderId="8" xfId="0" applyNumberFormat="1" applyFont="1" applyFill="1" applyBorder="1" applyAlignment="1">
      <x:alignment vertical="center"/>
    </x:xf>
    <x:xf numFmtId="204" fontId="6" fillId="4" borderId="0" xfId="0" applyNumberFormat="1" applyFont="1" applyFill="1" applyBorder="1" applyAlignment="1">
      <x:alignment vertical="center"/>
    </x:xf>
    <x:xf numFmtId="204" fontId="11" fillId="4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vertical="center"/>
    </x:xf>
    <x:xf numFmtId="203" fontId="4" fillId="2" borderId="4" xfId="0" applyNumberFormat="1" applyFont="1" applyFill="1" applyBorder="1" applyAlignment="1">
      <x:alignment vertical="center"/>
    </x:xf>
    <x:xf numFmtId="203" fontId="4" fillId="2" borderId="0" xfId="0" applyNumberFormat="1" applyFont="1" applyFill="1" applyBorder="1" applyAlignment="1">
      <x:alignment vertical="center"/>
    </x:xf>
    <x:xf numFmtId="203" fontId="4" fillId="2" borderId="7" xfId="0" applyNumberFormat="1" applyFont="1" applyFill="1" applyBorder="1" applyAlignment="1">
      <x:alignment vertical="center"/>
    </x:xf>
    <x:xf numFmtId="205" fontId="6" fillId="4" borderId="0" xfId="0" applyNumberFormat="1" applyFont="1" applyFill="1" applyBorder="1" applyAlignment="1">
      <x:alignment vertical="center"/>
    </x:xf>
    <x:xf numFmtId="203" fontId="6" fillId="4" borderId="0" xfId="0" applyNumberFormat="1" applyFont="1" applyFill="1" applyBorder="1" applyAlignment="1">
      <x:alignment vertical="center"/>
    </x:xf>
    <x:xf numFmtId="203" fontId="11" fillId="4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2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6" fillId="9" borderId="35" xfId="0" applyNumberFormat="1" applyFont="1" applyFill="1" applyBorder="1" applyAlignment="1">
      <x:alignment vertical="center"/>
    </x:xf>
    <x:xf numFmtId="0" fontId="6" fillId="9" borderId="36" xfId="0" applyNumberFormat="1" applyFont="1" applyFill="1" applyBorder="1" applyAlignment="1">
      <x:alignment vertical="center"/>
    </x:xf>
    <x:xf numFmtId="0" fontId="6" fillId="9" borderId="37" xfId="0" applyNumberFormat="1" applyFont="1" applyFill="1" applyBorder="1" applyAlignment="1">
      <x:alignment vertical="center"/>
    </x:xf>
    <x:xf numFmtId="204" fontId="4" fillId="9" borderId="27" xfId="0" applyNumberFormat="1" applyFont="1" applyFill="1" applyBorder="1" applyAlignment="1">
      <x:alignment vertical="center"/>
    </x:xf>
    <x:xf numFmtId="204" fontId="4" fillId="9" borderId="28" xfId="0" applyNumberFormat="1" applyFont="1" applyFill="1" applyBorder="1" applyAlignment="1">
      <x:alignment vertical="center"/>
    </x:xf>
    <x:xf numFmtId="204" fontId="4" fillId="9" borderId="29" xfId="0" applyNumberFormat="1" applyFont="1" applyFill="1" applyBorder="1" applyAlignment="1">
      <x:alignment vertical="center"/>
    </x:xf>
    <x:xf numFmtId="204" fontId="6" fillId="9" borderId="27" xfId="0" applyNumberFormat="1" applyFont="1" applyFill="1" applyBorder="1" applyAlignment="1">
      <x:alignment vertical="center"/>
    </x:xf>
    <x:xf numFmtId="204" fontId="6" fillId="9" borderId="28" xfId="0" applyNumberFormat="1" applyFont="1" applyFill="1" applyBorder="1" applyAlignment="1">
      <x:alignment vertical="center"/>
    </x:xf>
    <x:xf numFmtId="204" fontId="6" fillId="9" borderId="29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8" fillId="11" borderId="0" xfId="0" applyNumberFormat="1" applyFont="1" applyFill="1" applyBorder="1" applyAlignment="1">
      <x:alignment vertical="center"/>
    </x:xf>
    <x:xf numFmtId="0" fontId="8" fillId="11" borderId="9" xfId="0" applyNumberFormat="1" applyFont="1" applyFill="1" applyBorder="1" applyAlignment="1">
      <x:alignment vertical="center"/>
    </x:xf>
    <x:xf numFmtId="0" fontId="8" fillId="11" borderId="9" xfId="0" applyNumberFormat="1" applyFont="1" applyFill="1" applyBorder="1" applyAlignment="1">
      <x:alignment vertical="center" wrapText="1"/>
    </x:xf>
    <x:xf numFmtId="0" fontId="8" fillId="11" borderId="9" xfId="0" applyNumberFormat="1" applyFont="1" applyFill="1" applyBorder="1" applyAlignment="1">
      <x:alignment horizontal="center" vertical="center" wrapText="1"/>
    </x:xf>
    <x:xf numFmtId="0" fontId="4" fillId="8" borderId="3" xfId="0" applyNumberFormat="1" applyFont="1" applyFill="1" applyBorder="1" applyAlignment="1">
      <x:alignment vertical="center"/>
    </x:xf>
    <x:xf numFmtId="0" fontId="4" fillId="8" borderId="4" xfId="0" applyNumberFormat="1" applyFont="1" applyFill="1" applyBorder="1" applyAlignment="1">
      <x:alignment vertical="center"/>
    </x:xf>
    <x:xf numFmtId="0" fontId="4" fillId="8" borderId="5" xfId="0" applyNumberFormat="1" applyFont="1" applyFill="1" applyBorder="1" applyAlignment="1">
      <x:alignment vertical="center"/>
    </x:xf>
    <x:xf numFmtId="0" fontId="4" fillId="8" borderId="33" xfId="0" applyNumberFormat="1" applyFont="1" applyFill="1" applyBorder="1" applyAlignment="1">
      <x:alignment vertical="center"/>
    </x:xf>
    <x:xf numFmtId="0" fontId="4" fillId="8" xfId="0" applyNumberFormat="1" applyFont="1" applyFill="1" applyBorder="0" applyAlignment="1">
      <x:alignment vertical="center"/>
    </x:xf>
    <x:xf numFmtId="0" fontId="4" fillId="8" borderId="34" xfId="0" applyNumberFormat="1" applyFont="1" applyFill="1" applyBorder="1" applyAlignment="1">
      <x:alignment vertical="center"/>
    </x:xf>
    <x:xf numFmtId="0" fontId="4" fillId="8" borderId="6" xfId="0" applyNumberFormat="1" applyFont="1" applyFill="1" applyBorder="1" applyAlignment="1">
      <x:alignment vertical="center"/>
    </x:xf>
    <x:xf numFmtId="0" fontId="4" fillId="8" borderId="7" xfId="0" applyNumberFormat="1" applyFont="1" applyFill="1" applyBorder="1" applyAlignment="1">
      <x:alignment vertical="center"/>
    </x:xf>
    <x:xf numFmtId="0" fontId="4" fillId="8" borderId="8" xfId="0" applyNumberFormat="1" applyFont="1" applyFill="1" applyBorder="1" applyAlignment="1">
      <x:alignment vertical="center"/>
    </x:xf>
    <x:xf numFmtId="206" fontId="4" fillId="8" borderId="4" xfId="0" applyNumberFormat="1" applyFont="1" applyFill="1" applyBorder="1" applyAlignment="1">
      <x:alignment vertical="center"/>
    </x:xf>
    <x:xf numFmtId="206" fontId="4" fillId="8" xfId="0" applyNumberFormat="1" applyFont="1" applyFill="1" applyBorder="0" applyAlignment="1">
      <x:alignment vertical="center"/>
    </x:xf>
    <x:xf numFmtId="206" fontId="4" fillId="8" borderId="7" xfId="0" applyNumberFormat="1" applyFont="1" applyFill="1" applyBorder="1" applyAlignment="1">
      <x:alignment vertical="center"/>
    </x:xf>
    <x:xf numFmtId="0" fontId="4" fillId="8" borderId="4" xfId="0" applyNumberFormat="1" applyFont="1" applyFill="1" applyBorder="1" applyAlignment="1">
      <x:alignment vertical="center" wrapText="1"/>
    </x:xf>
    <x:xf numFmtId="0" fontId="4" fillId="8" borderId="5" xfId="0" applyNumberFormat="1" applyFont="1" applyFill="1" applyBorder="1" applyAlignment="1">
      <x:alignment vertical="center" wrapText="1"/>
    </x:xf>
    <x:xf numFmtId="0" fontId="4" fillId="8" xfId="0" applyNumberFormat="1" applyFont="1" applyFill="1" applyBorder="0" applyAlignment="1">
      <x:alignment vertical="center" wrapText="1"/>
    </x:xf>
    <x:xf numFmtId="0" fontId="4" fillId="8" borderId="34" xfId="0" applyNumberFormat="1" applyFont="1" applyFill="1" applyBorder="1" applyAlignment="1">
      <x:alignment vertical="center" wrapText="1"/>
    </x:xf>
    <x:xf numFmtId="0" fontId="4" fillId="8" borderId="7" xfId="0" applyNumberFormat="1" applyFont="1" applyFill="1" applyBorder="1" applyAlignment="1">
      <x:alignment vertical="center" wrapText="1"/>
    </x:xf>
    <x:xf numFmtId="0" fontId="4" fillId="8" borderId="8" xfId="0" applyNumberFormat="1" applyFont="1" applyFill="1" applyBorder="1" applyAlignment="1">
      <x:alignment vertical="center" wrapText="1"/>
    </x:xf>
    <x:xf numFmtId="200" fontId="4" fillId="8" borderId="3" xfId="0" applyNumberFormat="1" applyFont="1" applyFill="1" applyBorder="1" applyAlignment="1">
      <x:alignment vertical="center"/>
    </x:xf>
    <x:xf numFmtId="200" fontId="4" fillId="8" borderId="33" xfId="0" applyNumberFormat="1" applyFont="1" applyFill="1" applyBorder="1" applyAlignment="1">
      <x:alignment vertical="center"/>
    </x:xf>
    <x:xf numFmtId="200" fontId="4" fillId="8" borderId="6" xfId="0" applyNumberFormat="1" applyFont="1" applyFill="1" applyBorder="1" applyAlignment="1">
      <x:alignment vertical="center"/>
    </x:xf>
    <x:xf numFmtId="207" fontId="4" fillId="8" borderId="4" xfId="0" applyNumberFormat="1" applyFont="1" applyFill="1" applyBorder="1" applyAlignment="1">
      <x:alignment vertical="center"/>
    </x:xf>
    <x:xf numFmtId="207" fontId="4" fillId="8" xfId="0" applyNumberFormat="1" applyFont="1" applyFill="1" applyBorder="0" applyAlignment="1">
      <x:alignment vertical="center"/>
    </x:xf>
    <x:xf numFmtId="207" fontId="4" fillId="8" borderId="7" xfId="0" applyNumberFormat="1" applyFont="1" applyFill="1" applyBorder="1" applyAlignment="1">
      <x:alignment vertical="center"/>
    </x:xf>
    <x:xf numFmtId="204" fontId="4" fillId="8" borderId="5" xfId="0" applyNumberFormat="1" applyFont="1" applyFill="1" applyBorder="1" applyAlignment="1">
      <x:alignment vertical="center"/>
    </x:xf>
    <x:xf numFmtId="204" fontId="4" fillId="8" borderId="34" xfId="0" applyNumberFormat="1" applyFont="1" applyFill="1" applyBorder="1" applyAlignment="1">
      <x:alignment vertical="center"/>
    </x:xf>
    <x:xf numFmtId="204" fontId="4" fillId="8" borderId="8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5" fillId="12" borderId="0" xfId="0" applyNumberFormat="1" applyFont="1" applyFill="1" applyBorder="1" applyAlignment="1">
      <x:alignment vertical="center"/>
    </x:xf>
    <x:xf numFmtId="204" fontId="6" fillId="9" borderId="0" xfId="0" applyNumberFormat="1" applyFont="1" applyFill="1" applyBorder="1" applyAlignment="1">
      <x:alignment vertical="center"/>
    </x:xf>
    <x:xf numFmtId="204" fontId="11" fillId="9" borderId="0" xfId="0" applyNumberFormat="1" applyFont="1" applyFill="1" applyBorder="1" applyAlignment="1">
      <x:alignment vertical="center"/>
    </x:xf>
    <x:xf numFmtId="204" fontId="4" fillId="8" borderId="4" xfId="0" applyNumberFormat="1" applyFont="1" applyFill="1" applyBorder="1" applyAlignment="1">
      <x:alignment vertical="center"/>
    </x:xf>
    <x:xf numFmtId="204" fontId="4" fillId="8" xfId="0" applyNumberFormat="1" applyFont="1" applyFill="1" applyBorder="0" applyAlignment="1">
      <x:alignment vertical="center"/>
    </x:xf>
    <x:xf numFmtId="204" fontId="4" fillId="8" borderId="7" xfId="0" applyNumberFormat="1" applyFont="1" applyFill="1" applyBorder="1" applyAlignment="1">
      <x:alignment vertical="center"/>
    </x:xf>
    <x:xf numFmtId="0" fontId="1" fillId="0" borderId="38" xfId="0" applyNumberFormat="1" applyFont="1" applyFill="1" applyBorder="1" applyAlignment="1">
      <x:alignment vertical="center"/>
    </x:xf>
    <x:xf numFmtId="0" fontId="1" fillId="0" borderId="39" xfId="0" applyNumberFormat="1" applyFont="1" applyFill="1" applyBorder="1" applyAlignment="1">
      <x:alignment vertical="center"/>
    </x:xf>
    <x:xf numFmtId="0" fontId="1" fillId="0" borderId="40" xfId="0" applyNumberFormat="1" applyFont="1" applyFill="1" applyBorder="1" applyAlignment="1">
      <x:alignment vertical="center"/>
    </x:xf>
    <x:xf numFmtId="0" fontId="1" fillId="0" borderId="38" xfId="0" applyNumberFormat="1" applyFont="1" applyFill="1" applyBorder="1" applyAlignment="1">
      <x:alignment vertical="center" wrapText="1"/>
    </x:xf>
    <x:xf numFmtId="0" fontId="1" fillId="0" borderId="39" xfId="0" applyNumberFormat="1" applyFont="1" applyFill="1" applyBorder="1" applyAlignment="1">
      <x:alignment vertical="center" wrapText="1"/>
    </x:xf>
    <x:xf numFmtId="0" fontId="1" fillId="0" borderId="4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/>
    </x:xf>
    <x:xf numFmtId="0" fontId="13" fillId="13" borderId="0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B91C1C"/>
      </x:font>
      <x:fill>
        <x:patternFill>
          <x:bgColor rgb="FFFCE8E6"/>
        </x:patternFill>
      </x:fill>
    </x:dxf>
    <x:dxf>
      <x:font>
        <x:b/>
        <x:color rgb="FFB91C1C"/>
      </x:font>
      <x:fill>
        <x:patternFill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8385fc58eb4095" /><Relationship Type="http://schemas.openxmlformats.org/officeDocument/2006/relationships/theme" Target="/xl/theme/theme1.xml" Id="R30a66c2d08424947" /><Relationship Type="http://schemas.openxmlformats.org/officeDocument/2006/relationships/sharedStrings" Target="/xl/sharedStrings.xml" Id="Rf56b925de4374fc4" /><Relationship Type="http://schemas.openxmlformats.org/officeDocument/2006/relationships/worksheet" Target="/xl/worksheets/sheet1.xml" Id="Re71a36f0ee734556" /><Relationship Type="http://schemas.openxmlformats.org/officeDocument/2006/relationships/worksheet" Target="/xl/worksheets/sheet2.xml" Id="R5ca9bc73e5324a0e" /><Relationship Type="http://schemas.openxmlformats.org/officeDocument/2006/relationships/worksheet" Target="/xl/worksheets/sheet3.xml" Id="R7b8e4d745d1743e6" /><Relationship Type="http://schemas.openxmlformats.org/officeDocument/2006/relationships/worksheet" Target="/xl/worksheets/sheet4.xml" Id="R4a51ba1e05c74d7b" /><Relationship Type="http://schemas.openxmlformats.org/officeDocument/2006/relationships/worksheet" Target="/xl/worksheets/sheet5.xml" Id="R9ed649a4c0fe4ed1" /><Relationship Type="http://schemas.openxmlformats.org/officeDocument/2006/relationships/worksheet" Target="/xl/worksheets/sheet6.xml" Id="R740669ccb21b4fc9" /><Relationship Type="http://schemas.openxmlformats.org/officeDocument/2006/relationships/worksheet" Target="/xl/worksheets/sheet7.xml" Id="R3679b7e0e3ce4a41" /><Relationship Type="http://schemas.openxmlformats.org/officeDocument/2006/relationships/worksheet" Target="/xl/worksheets/sheet8.xml" Id="Ra529b49c5fcc45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19" hidden="0" customWidth="1"/>
    <x:col min="5" max="5" width="9" hidden="0" customWidth="1"/>
    <x:col min="6" max="6" width="9" hidden="0" customWidth="1"/>
    <x:col min="7" max="7" width="28" hidden="0" customWidth="1"/>
    <x:col min="8" max="8" width="31" hidden="0" customWidth="1"/>
    <x:col min="9" max="9" width="12" hidden="0" customWidth="1"/>
    <x:col min="10" max="10" width="12" hidden="0" customWidth="1"/>
    <x:col min="11" max="11" width="12" hidden="0" customWidth="1"/>
    <x:col min="12" max="12" width="11" hidden="0" customWidth="1"/>
    <x:col min="13" max="13" width="9" hidden="0" customWidth="1"/>
    <x:col min="14" max="14" width="14" hidden="0" customWidth="1"/>
    <x:col min="15" max="15" width="14" hidden="0" customWidth="1"/>
    <x:col min="16" max="16" width="16" hidden="0" customWidth="1"/>
    <x:col min="17" max="17" width="12" hidden="0" customWidth="1"/>
    <x:col min="18" max="18" width="14" hidden="0" customWidth="1"/>
    <x:col min="19" max="19" width="15" hidden="0" customWidth="1"/>
    <x:col min="20" max="20" width="13" hidden="0" customWidth="1"/>
    <x:col min="21" max="21" width="18" hidden="0" customWidth="1"/>
    <x:col min="22" max="22" width="14" hidden="0" customWidth="1"/>
    <x:col min="23" max="23" width="15" hidden="0" customWidth="1"/>
    <x:col min="24" max="24" width="2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>
      <x:c r="A2" s="3" t="str">
        <x:v>Weekly Trip Pay Calculator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</x:row>
    <x:row r="4" ht="22" customHeight="1">
      <x:c r="A4" s="5" t="str">
        <x:v>Driver</x:v>
      </x:c>
      <x:c r="B4" s="8" t="str">
        <x:v>Dustin Douglas</x:v>
      </x:c>
      <x:c r="C4" s="2" t="str"/>
      <x:c r="D4" s="5" t="str">
        <x:v>Week starting</x:v>
      </x:c>
      <x:c r="E4" s="9" t="n">
        <x:v>46279</x:v>
      </x:c>
      <x:c r="F4" s="2" t="str"/>
      <x:c r="G4" s="5" t="str">
        <x:v>Default CPM</x:v>
      </x:c>
      <x:c r="H4" s="10" t="n">
        <x:v>0.8</x:v>
      </x:c>
      <x:c r="I4" s="2" t="str"/>
      <x:c r="J4" s="5" t="str">
        <x:v>Tax reserve</x:v>
      </x:c>
      <x:c r="K4" s="11" t="n">
        <x:v>0.25</x:v>
      </x:c>
      <x:c r="L4" s="2"/>
      <x:c r="M4" s="5" t="str">
        <x:v>Selected trip for PDF</x:v>
      </x:c>
      <x:c r="N4" s="173" t="str">
        <x:v>39586</x:v>
      </x:c>
      <x:c r="O4" s="2"/>
      <x:c r="P4" s="5" t="str">
        <x:v>Export check</x:v>
      </x:c>
      <x:c r="Q4" s="176" t="str">
        <x:f>IF(N4="","Select a trip",IF(COUNTIF(C11:C30,N4)=0,"Trip not found","Ready to validate/export"))</x:f>
        <x:v>Ready to validate/export</x:v>
      </x:c>
      <x:c r="R4" s="177"/>
      <x:c r="S4" s="178"/>
      <x:c r="T4" s="2"/>
      <x:c r="U4" s="2"/>
      <x:c r="V4" s="2"/>
      <x:c r="W4" s="2"/>
      <x:c r="X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>
      <x:c r="A6" s="13" t="str">
        <x:v>Paid miles</x:v>
      </x:c>
      <x:c r="B6" s="13" t="str"/>
      <x:c r="C6" s="13" t="str"/>
      <x:c r="D6" s="13" t="str">
        <x:v>Gross pay</x:v>
      </x:c>
      <x:c r="E6" s="13" t="str"/>
      <x:c r="F6" s="13" t="str"/>
      <x:c r="G6" s="13" t="str">
        <x:v>Reimbursements</x:v>
      </x:c>
      <x:c r="H6" s="13" t="str"/>
      <x:c r="I6" s="13" t="str"/>
      <x:c r="J6" s="13" t="str">
        <x:v>Expenses</x:v>
      </x:c>
      <x:c r="K6" s="13" t="str"/>
      <x:c r="L6" s="13" t="str"/>
      <x:c r="M6" s="13" t="str">
        <x:v>Tax reserve</x:v>
      </x:c>
      <x:c r="N6" s="13" t="str"/>
      <x:c r="O6" s="13" t="str"/>
      <x:c r="P6" s="13" t="str">
        <x:v>Estimated net</x:v>
      </x:c>
      <x:c r="Q6" s="13" t="str"/>
      <x:c r="R6" s="13" t="str"/>
      <x:c r="S6" s="13" t="str">
        <x:v>Mileage check</x:v>
      </x:c>
      <x:c r="T6" s="13" t="str"/>
      <x:c r="U6" s="13" t="str"/>
      <x:c r="V6" s="13" t="str">
        <x:v>State-mile check</x:v>
      </x:c>
      <x:c r="W6" s="13" t="str"/>
      <x:c r="X6" s="2"/>
    </x:row>
    <x:row r="7">
      <x:c r="A7" s="19" t="n">
        <x:f>SUM(L11:L30)</x:f>
        <x:v>2068</x:v>
      </x:c>
      <x:c r="B7" s="20"/>
      <x:c r="C7" s="21"/>
      <x:c r="D7" s="26" t="n">
        <x:f>SUM(R11:R30)</x:f>
        <x:v>1654.4</x:v>
      </x:c>
      <x:c r="E7" s="27"/>
      <x:c r="F7" s="28"/>
      <x:c r="G7" s="26" t="n">
        <x:f>SUM(S11:S30)</x:f>
        <x:v>0</x:v>
      </x:c>
      <x:c r="H7" s="27"/>
      <x:c r="I7" s="28"/>
      <x:c r="J7" s="26" t="n">
        <x:f>SUM(T11:T30)</x:f>
        <x:v>0</x:v>
      </x:c>
      <x:c r="K7" s="27"/>
      <x:c r="L7" s="28"/>
      <x:c r="M7" s="26" t="n">
        <x:f>SUM(V11:V30)</x:f>
        <x:v>413.6</x:v>
      </x:c>
      <x:c r="N7" s="27"/>
      <x:c r="O7" s="28"/>
      <x:c r="P7" s="26" t="n">
        <x:f>SUM(W11:W30)</x:f>
        <x:v>1240.8000000000002</x:v>
      </x:c>
      <x:c r="Q7" s="27"/>
      <x:c r="R7" s="28"/>
      <x:c r="S7" s="19" t="n">
        <x:f>SUM(K11:K30)-SUM(L11:L30)</x:f>
        <x:v>-45</x:v>
      </x:c>
      <x:c r="T7" s="20"/>
      <x:c r="U7" s="21"/>
      <x:c r="V7" s="19" t="n">
        <x:f>'State Miles'!C58-SUM(K11:K30)</x:f>
        <x:v>45</x:v>
      </x:c>
      <x:c r="W7" s="21"/>
      <x:c r="X7" s="2"/>
    </x:row>
    <x:row r="8">
      <x:c r="A8" s="22"/>
      <x:c r="B8" s="23"/>
      <x:c r="C8" s="24"/>
      <x:c r="D8" s="29"/>
      <x:c r="E8" s="30"/>
      <x:c r="F8" s="31"/>
      <x:c r="G8" s="29"/>
      <x:c r="H8" s="30"/>
      <x:c r="I8" s="31"/>
      <x:c r="J8" s="29"/>
      <x:c r="K8" s="30"/>
      <x:c r="L8" s="31"/>
      <x:c r="M8" s="29"/>
      <x:c r="N8" s="30"/>
      <x:c r="O8" s="31"/>
      <x:c r="P8" s="29"/>
      <x:c r="Q8" s="30"/>
      <x:c r="R8" s="31"/>
      <x:c r="S8" s="22"/>
      <x:c r="T8" s="23"/>
      <x:c r="U8" s="24"/>
      <x:c r="V8" s="22"/>
      <x:c r="W8" s="24"/>
      <x:c r="X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</x:row>
    <x:row r="10" ht="34" customHeight="1">
      <x:c r="A10" s="36" t="str">
        <x:v>Pickup</x:v>
      </x:c>
      <x:c r="B10" s="36" t="str">
        <x:v>Delivery</x:v>
      </x:c>
      <x:c r="C10" s="36" t="str">
        <x:v>Trip #</x:v>
      </x:c>
      <x:c r="D10" s="36" t="str">
        <x:v>PRO / BOL</x:v>
      </x:c>
      <x:c r="E10" s="36" t="str">
        <x:v>Truck</x:v>
      </x:c>
      <x:c r="F10" s="36" t="str">
        <x:v>Trailer</x:v>
      </x:c>
      <x:c r="G10" s="36" t="str">
        <x:v>From</x:v>
      </x:c>
      <x:c r="H10" s="36" t="str">
        <x:v>To</x:v>
      </x:c>
      <x:c r="I10" s="36" t="str">
        <x:v>Begin odo</x:v>
      </x:c>
      <x:c r="J10" s="36" t="str">
        <x:v>End odo</x:v>
      </x:c>
      <x:c r="K10" s="36" t="str">
        <x:v>Actual miles</x:v>
      </x:c>
      <x:c r="L10" s="36" t="str">
        <x:v>Paid miles</x:v>
      </x:c>
      <x:c r="M10" s="36" t="str">
        <x:v>Rate</x:v>
      </x:c>
      <x:c r="N10" s="36" t="str">
        <x:v>Mileage pay</x:v>
      </x:c>
      <x:c r="O10" s="36" t="str">
        <x:v>Extra-stop pay</x:v>
      </x:c>
      <x:c r="P10" s="36" t="str">
        <x:v>Detention / layover</x:v>
      </x:c>
      <x:c r="Q10" s="36" t="str">
        <x:v>Other pay</x:v>
      </x:c>
      <x:c r="R10" s="36" t="str">
        <x:v>Gross pay</x:v>
      </x:c>
      <x:c r="S10" s="36" t="str">
        <x:v>Reimbursements</x:v>
      </x:c>
      <x:c r="T10" s="36" t="str">
        <x:v>Expenses</x:v>
      </x:c>
      <x:c r="U10" s="36" t="str">
        <x:v>Advances / deductions</x:v>
      </x:c>
      <x:c r="V10" s="36" t="str">
        <x:v>Tax reserve</x:v>
      </x:c>
      <x:c r="W10" s="36" t="str">
        <x:v>Estimated net</x:v>
      </x:c>
      <x:c r="X10" s="36" t="str">
        <x:v>Notes</x:v>
      </x:c>
    </x:row>
    <x:row r="11" ht="22" customHeight="1">
      <x:c r="A11" s="96" t="n">
        <x:v>46280</x:v>
      </x:c>
      <x:c r="B11" s="97" t="n">
        <x:v>46283</x:v>
      </x:c>
      <x:c r="C11" s="65" t="str">
        <x:v>39586</x:v>
      </x:c>
      <x:c r="D11" s="65" t="str">
        <x:v>38522 / 935202874</x:v>
      </x:c>
      <x:c r="E11" s="65" t="str">
        <x:v>146</x:v>
      </x:c>
      <x:c r="F11" s="65" t="str">
        <x:v>2016</x:v>
      </x:c>
      <x:c r="G11" s="135" t="str">
        <x:v>3950 E Airport Dr, Ontario, CA 91761</x:v>
      </x:c>
      <x:c r="H11" s="135" t="str">
        <x:v>12300 Jim Dhamer Dr, Huntley, IL 60142</x:v>
      </x:c>
      <x:c r="I11" s="102" t="n">
        <x:v>289703</x:v>
      </x:c>
      <x:c r="J11" s="103" t="n">
        <x:v>291726</x:v>
      </x:c>
      <x:c r="K11" s="104" t="n">
        <x:f>J11-I11</x:f>
        <x:v>2023</x:v>
      </x:c>
      <x:c r="L11" s="105" t="n">
        <x:v>2068</x:v>
      </x:c>
      <x:c r="M11" s="114" t="n">
        <x:v>0.8</x:v>
      </x:c>
      <x:c r="N11" s="117" t="n">
        <x:f>L11*M11</x:f>
        <x:v>1654.4</x:v>
      </x:c>
      <x:c r="O11" s="118" t="n">
        <x:v>0</x:v>
      </x:c>
      <x:c r="P11" s="119" t="n">
        <x:v>0</x:v>
      </x:c>
      <x:c r="Q11" s="120" t="n">
        <x:v>0</x:v>
      </x:c>
      <x:c r="R11" s="117" t="n">
        <x:f>SUM(N11:Q11)</x:f>
        <x:v>1654.4</x:v>
      </x:c>
      <x:c r="S11" s="117" t="n">
        <x:f>SUMIF(Expenses!$B$7:$B$56,C11,Expenses!$H$7:$H$56)</x:f>
        <x:v>0</x:v>
      </x:c>
      <x:c r="T11" s="117" t="n">
        <x:f>SUMIF(Expenses!$B$7:$B$56,C11,Expenses!$G$7:$G$56)</x:f>
        <x:v>0</x:v>
      </x:c>
      <x:c r="U11" s="182" t="n">
        <x:f>IF(C11="","",SUMIF(Advances!$B$7:$B$26,C11,Advances!$C$7:$C$26))</x:f>
        <x:v>0</x:v>
      </x:c>
      <x:c r="V11" s="117" t="n">
        <x:f>MAX(0,(R11-T11)*$K$4)</x:f>
        <x:v>413.6</x:v>
      </x:c>
      <x:c r="W11" s="122" t="n">
        <x:f>R11+S11-T11-U11-V11</x:f>
        <x:v>1240.8000000000002</x:v>
      </x:c>
      <x:c r="X11" s="138" t="str">
        <x:v>State miles exceed odometer by 45 miles</x:v>
      </x:c>
    </x:row>
    <x:row r="12" ht="22" customHeight="1">
      <x:c r="A12" s="98"/>
      <x:c r="B12" s="99"/>
      <x:c r="C12" s="59"/>
      <x:c r="D12" s="59"/>
      <x:c r="E12" s="59"/>
      <x:c r="F12" s="59"/>
      <x:c r="G12" s="136"/>
      <x:c r="H12" s="136"/>
      <x:c r="I12" s="106"/>
      <x:c r="J12" s="107"/>
      <x:c r="K12" s="108" t="str">
        <x:f>IF(OR(I12="",J12=""),"",J12-I12)</x:f>
      </x:c>
      <x:c r="L12" s="109"/>
      <x:c r="M12" s="115"/>
      <x:c r="N12" s="123" t="str">
        <x:f>IF(OR(L12="",M12=""),"",L12*M12)</x:f>
      </x:c>
      <x:c r="O12" s="124"/>
      <x:c r="P12" s="125"/>
      <x:c r="Q12" s="126"/>
      <x:c r="R12" s="123" t="str">
        <x:f>IF(C12="","",SUM(N12:Q12))</x:f>
      </x:c>
      <x:c r="S12" s="123" t="str">
        <x:f>IF(C12="","",SUMIF(Expenses!$B$7:$B$56,C12,Expenses!$H$7:$H$56))</x:f>
      </x:c>
      <x:c r="T12" s="123" t="str">
        <x:f>IF(C12="","",SUMIF(Expenses!$B$7:$B$56,C12,Expenses!$G$7:$G$56))</x:f>
      </x:c>
      <x:c r="U12" s="183" t="str">
        <x:f>IF(C12="","",SUMIF(Advances!$B$7:$B$26,C12,Advances!$C$7:$C$26))</x:f>
      </x:c>
      <x:c r="V12" s="123" t="str">
        <x:f>IF(C12="","",MAX(0,(R12-T12)*$K$4))</x:f>
      </x:c>
      <x:c r="W12" s="128" t="str">
        <x:f>IF(C12="","",R12+S12-T12-U12-V12)</x:f>
      </x:c>
      <x:c r="X12" s="139"/>
    </x:row>
    <x:row r="13" ht="22" customHeight="1">
      <x:c r="A13" s="98"/>
      <x:c r="B13" s="99"/>
      <x:c r="C13" s="59"/>
      <x:c r="D13" s="59"/>
      <x:c r="E13" s="59"/>
      <x:c r="F13" s="59"/>
      <x:c r="G13" s="136"/>
      <x:c r="H13" s="136"/>
      <x:c r="I13" s="106"/>
      <x:c r="J13" s="107"/>
      <x:c r="K13" s="108" t="str">
        <x:f>IF(OR(I13="",J13=""),"",J13-I13)</x:f>
      </x:c>
      <x:c r="L13" s="109"/>
      <x:c r="M13" s="115"/>
      <x:c r="N13" s="123" t="str">
        <x:f>IF(OR(L13="",M13=""),"",L13*M13)</x:f>
      </x:c>
      <x:c r="O13" s="124"/>
      <x:c r="P13" s="125"/>
      <x:c r="Q13" s="126"/>
      <x:c r="R13" s="123" t="str">
        <x:f>IF(C13="","",SUM(N13:Q13))</x:f>
      </x:c>
      <x:c r="S13" s="123" t="str">
        <x:f>IF(C13="","",SUMIF(Expenses!$B$7:$B$56,C13,Expenses!$H$7:$H$56))</x:f>
      </x:c>
      <x:c r="T13" s="123" t="str">
        <x:f>IF(C13="","",SUMIF(Expenses!$B$7:$B$56,C13,Expenses!$G$7:$G$56))</x:f>
      </x:c>
      <x:c r="U13" s="183" t="str">
        <x:f>IF(C13="","",SUMIF(Advances!$B$7:$B$26,C13,Advances!$C$7:$C$26))</x:f>
      </x:c>
      <x:c r="V13" s="123" t="str">
        <x:f>IF(C13="","",MAX(0,(R13-T13)*$K$4))</x:f>
      </x:c>
      <x:c r="W13" s="128" t="str">
        <x:f>IF(C13="","",R13+S13-T13-U13-V13)</x:f>
      </x:c>
      <x:c r="X13" s="139"/>
    </x:row>
    <x:row r="14" ht="22" customHeight="1">
      <x:c r="A14" s="98"/>
      <x:c r="B14" s="99"/>
      <x:c r="C14" s="59"/>
      <x:c r="D14" s="59"/>
      <x:c r="E14" s="59"/>
      <x:c r="F14" s="59"/>
      <x:c r="G14" s="136"/>
      <x:c r="H14" s="136"/>
      <x:c r="I14" s="106"/>
      <x:c r="J14" s="107"/>
      <x:c r="K14" s="108" t="str">
        <x:f>IF(OR(I14="",J14=""),"",J14-I14)</x:f>
      </x:c>
      <x:c r="L14" s="109"/>
      <x:c r="M14" s="115"/>
      <x:c r="N14" s="123" t="str">
        <x:f>IF(OR(L14="",M14=""),"",L14*M14)</x:f>
      </x:c>
      <x:c r="O14" s="124"/>
      <x:c r="P14" s="125"/>
      <x:c r="Q14" s="126"/>
      <x:c r="R14" s="123" t="str">
        <x:f>IF(C14="","",SUM(N14:Q14))</x:f>
      </x:c>
      <x:c r="S14" s="123" t="str">
        <x:f>IF(C14="","",SUMIF(Expenses!$B$7:$B$56,C14,Expenses!$H$7:$H$56))</x:f>
      </x:c>
      <x:c r="T14" s="123" t="str">
        <x:f>IF(C14="","",SUMIF(Expenses!$B$7:$B$56,C14,Expenses!$G$7:$G$56))</x:f>
      </x:c>
      <x:c r="U14" s="183" t="str">
        <x:f>IF(C14="","",SUMIF(Advances!$B$7:$B$26,C14,Advances!$C$7:$C$26))</x:f>
      </x:c>
      <x:c r="V14" s="123" t="str">
        <x:f>IF(C14="","",MAX(0,(R14-T14)*$K$4))</x:f>
      </x:c>
      <x:c r="W14" s="128" t="str">
        <x:f>IF(C14="","",R14+S14-T14-U14-V14)</x:f>
      </x:c>
      <x:c r="X14" s="139"/>
    </x:row>
    <x:row r="15" ht="22" customHeight="1">
      <x:c r="A15" s="98"/>
      <x:c r="B15" s="99"/>
      <x:c r="C15" s="59"/>
      <x:c r="D15" s="59"/>
      <x:c r="E15" s="59"/>
      <x:c r="F15" s="59"/>
      <x:c r="G15" s="136"/>
      <x:c r="H15" s="136"/>
      <x:c r="I15" s="106"/>
      <x:c r="J15" s="107"/>
      <x:c r="K15" s="108" t="str">
        <x:f>IF(OR(I15="",J15=""),"",J15-I15)</x:f>
      </x:c>
      <x:c r="L15" s="109"/>
      <x:c r="M15" s="115"/>
      <x:c r="N15" s="123" t="str">
        <x:f>IF(OR(L15="",M15=""),"",L15*M15)</x:f>
      </x:c>
      <x:c r="O15" s="124"/>
      <x:c r="P15" s="125"/>
      <x:c r="Q15" s="126"/>
      <x:c r="R15" s="123" t="str">
        <x:f>IF(C15="","",SUM(N15:Q15))</x:f>
      </x:c>
      <x:c r="S15" s="123" t="str">
        <x:f>IF(C15="","",SUMIF(Expenses!$B$7:$B$56,C15,Expenses!$H$7:$H$56))</x:f>
      </x:c>
      <x:c r="T15" s="123" t="str">
        <x:f>IF(C15="","",SUMIF(Expenses!$B$7:$B$56,C15,Expenses!$G$7:$G$56))</x:f>
      </x:c>
      <x:c r="U15" s="183" t="str">
        <x:f>IF(C15="","",SUMIF(Advances!$B$7:$B$26,C15,Advances!$C$7:$C$26))</x:f>
      </x:c>
      <x:c r="V15" s="123" t="str">
        <x:f>IF(C15="","",MAX(0,(R15-T15)*$K$4))</x:f>
      </x:c>
      <x:c r="W15" s="128" t="str">
        <x:f>IF(C15="","",R15+S15-T15-U15-V15)</x:f>
      </x:c>
      <x:c r="X15" s="139"/>
    </x:row>
    <x:row r="16" ht="22" customHeight="1">
      <x:c r="A16" s="98"/>
      <x:c r="B16" s="99"/>
      <x:c r="C16" s="59"/>
      <x:c r="D16" s="59"/>
      <x:c r="E16" s="59"/>
      <x:c r="F16" s="59"/>
      <x:c r="G16" s="136"/>
      <x:c r="H16" s="136"/>
      <x:c r="I16" s="106"/>
      <x:c r="J16" s="107"/>
      <x:c r="K16" s="108" t="str">
        <x:f>IF(OR(I16="",J16=""),"",J16-I16)</x:f>
      </x:c>
      <x:c r="L16" s="109"/>
      <x:c r="M16" s="115"/>
      <x:c r="N16" s="123" t="str">
        <x:f>IF(OR(L16="",M16=""),"",L16*M16)</x:f>
      </x:c>
      <x:c r="O16" s="124"/>
      <x:c r="P16" s="125"/>
      <x:c r="Q16" s="126"/>
      <x:c r="R16" s="123" t="str">
        <x:f>IF(C16="","",SUM(N16:Q16))</x:f>
      </x:c>
      <x:c r="S16" s="123" t="str">
        <x:f>IF(C16="","",SUMIF(Expenses!$B$7:$B$56,C16,Expenses!$H$7:$H$56))</x:f>
      </x:c>
      <x:c r="T16" s="123" t="str">
        <x:f>IF(C16="","",SUMIF(Expenses!$B$7:$B$56,C16,Expenses!$G$7:$G$56))</x:f>
      </x:c>
      <x:c r="U16" s="183" t="str">
        <x:f>IF(C16="","",SUMIF(Advances!$B$7:$B$26,C16,Advances!$C$7:$C$26))</x:f>
      </x:c>
      <x:c r="V16" s="123" t="str">
        <x:f>IF(C16="","",MAX(0,(R16-T16)*$K$4))</x:f>
      </x:c>
      <x:c r="W16" s="128" t="str">
        <x:f>IF(C16="","",R16+S16-T16-U16-V16)</x:f>
      </x:c>
      <x:c r="X16" s="139"/>
    </x:row>
    <x:row r="17" ht="22" customHeight="1">
      <x:c r="A17" s="98"/>
      <x:c r="B17" s="99"/>
      <x:c r="C17" s="59"/>
      <x:c r="D17" s="59"/>
      <x:c r="E17" s="59"/>
      <x:c r="F17" s="59"/>
      <x:c r="G17" s="136"/>
      <x:c r="H17" s="136"/>
      <x:c r="I17" s="106"/>
      <x:c r="J17" s="107"/>
      <x:c r="K17" s="108" t="str">
        <x:f>IF(OR(I17="",J17=""),"",J17-I17)</x:f>
      </x:c>
      <x:c r="L17" s="109"/>
      <x:c r="M17" s="115"/>
      <x:c r="N17" s="123" t="str">
        <x:f>IF(OR(L17="",M17=""),"",L17*M17)</x:f>
      </x:c>
      <x:c r="O17" s="124"/>
      <x:c r="P17" s="125"/>
      <x:c r="Q17" s="126"/>
      <x:c r="R17" s="123" t="str">
        <x:f>IF(C17="","",SUM(N17:Q17))</x:f>
      </x:c>
      <x:c r="S17" s="123" t="str">
        <x:f>IF(C17="","",SUMIF(Expenses!$B$7:$B$56,C17,Expenses!$H$7:$H$56))</x:f>
      </x:c>
      <x:c r="T17" s="123" t="str">
        <x:f>IF(C17="","",SUMIF(Expenses!$B$7:$B$56,C17,Expenses!$G$7:$G$56))</x:f>
      </x:c>
      <x:c r="U17" s="183" t="str">
        <x:f>IF(C17="","",SUMIF(Advances!$B$7:$B$26,C17,Advances!$C$7:$C$26))</x:f>
      </x:c>
      <x:c r="V17" s="123" t="str">
        <x:f>IF(C17="","",MAX(0,(R17-T17)*$K$4))</x:f>
      </x:c>
      <x:c r="W17" s="128" t="str">
        <x:f>IF(C17="","",R17+S17-T17-U17-V17)</x:f>
      </x:c>
      <x:c r="X17" s="139"/>
    </x:row>
    <x:row r="18" ht="22" customHeight="1">
      <x:c r="A18" s="98"/>
      <x:c r="B18" s="99"/>
      <x:c r="C18" s="59"/>
      <x:c r="D18" s="59"/>
      <x:c r="E18" s="59"/>
      <x:c r="F18" s="59"/>
      <x:c r="G18" s="136"/>
      <x:c r="H18" s="136"/>
      <x:c r="I18" s="106"/>
      <x:c r="J18" s="107"/>
      <x:c r="K18" s="108" t="str">
        <x:f>IF(OR(I18="",J18=""),"",J18-I18)</x:f>
      </x:c>
      <x:c r="L18" s="109"/>
      <x:c r="M18" s="115"/>
      <x:c r="N18" s="123" t="str">
        <x:f>IF(OR(L18="",M18=""),"",L18*M18)</x:f>
      </x:c>
      <x:c r="O18" s="124"/>
      <x:c r="P18" s="125"/>
      <x:c r="Q18" s="126"/>
      <x:c r="R18" s="123" t="str">
        <x:f>IF(C18="","",SUM(N18:Q18))</x:f>
      </x:c>
      <x:c r="S18" s="123" t="str">
        <x:f>IF(C18="","",SUMIF(Expenses!$B$7:$B$56,C18,Expenses!$H$7:$H$56))</x:f>
      </x:c>
      <x:c r="T18" s="123" t="str">
        <x:f>IF(C18="","",SUMIF(Expenses!$B$7:$B$56,C18,Expenses!$G$7:$G$56))</x:f>
      </x:c>
      <x:c r="U18" s="183" t="str">
        <x:f>IF(C18="","",SUMIF(Advances!$B$7:$B$26,C18,Advances!$C$7:$C$26))</x:f>
      </x:c>
      <x:c r="V18" s="123" t="str">
        <x:f>IF(C18="","",MAX(0,(R18-T18)*$K$4))</x:f>
      </x:c>
      <x:c r="W18" s="128" t="str">
        <x:f>IF(C18="","",R18+S18-T18-U18-V18)</x:f>
      </x:c>
      <x:c r="X18" s="139"/>
    </x:row>
    <x:row r="19" ht="22" customHeight="1">
      <x:c r="A19" s="98"/>
      <x:c r="B19" s="99"/>
      <x:c r="C19" s="59"/>
      <x:c r="D19" s="59"/>
      <x:c r="E19" s="59"/>
      <x:c r="F19" s="59"/>
      <x:c r="G19" s="136"/>
      <x:c r="H19" s="136"/>
      <x:c r="I19" s="106"/>
      <x:c r="J19" s="107"/>
      <x:c r="K19" s="108" t="str">
        <x:f>IF(OR(I19="",J19=""),"",J19-I19)</x:f>
      </x:c>
      <x:c r="L19" s="109"/>
      <x:c r="M19" s="115"/>
      <x:c r="N19" s="123" t="str">
        <x:f>IF(OR(L19="",M19=""),"",L19*M19)</x:f>
      </x:c>
      <x:c r="O19" s="124"/>
      <x:c r="P19" s="125"/>
      <x:c r="Q19" s="126"/>
      <x:c r="R19" s="123" t="str">
        <x:f>IF(C19="","",SUM(N19:Q19))</x:f>
      </x:c>
      <x:c r="S19" s="123" t="str">
        <x:f>IF(C19="","",SUMIF(Expenses!$B$7:$B$56,C19,Expenses!$H$7:$H$56))</x:f>
      </x:c>
      <x:c r="T19" s="123" t="str">
        <x:f>IF(C19="","",SUMIF(Expenses!$B$7:$B$56,C19,Expenses!$G$7:$G$56))</x:f>
      </x:c>
      <x:c r="U19" s="183" t="str">
        <x:f>IF(C19="","",SUMIF(Advances!$B$7:$B$26,C19,Advances!$C$7:$C$26))</x:f>
      </x:c>
      <x:c r="V19" s="123" t="str">
        <x:f>IF(C19="","",MAX(0,(R19-T19)*$K$4))</x:f>
      </x:c>
      <x:c r="W19" s="128" t="str">
        <x:f>IF(C19="","",R19+S19-T19-U19-V19)</x:f>
      </x:c>
      <x:c r="X19" s="139"/>
    </x:row>
    <x:row r="20" ht="22" customHeight="1">
      <x:c r="A20" s="98"/>
      <x:c r="B20" s="99"/>
      <x:c r="C20" s="59"/>
      <x:c r="D20" s="59"/>
      <x:c r="E20" s="59"/>
      <x:c r="F20" s="59"/>
      <x:c r="G20" s="136"/>
      <x:c r="H20" s="136"/>
      <x:c r="I20" s="106"/>
      <x:c r="J20" s="107"/>
      <x:c r="K20" s="108" t="str">
        <x:f>IF(OR(I20="",J20=""),"",J20-I20)</x:f>
      </x:c>
      <x:c r="L20" s="109"/>
      <x:c r="M20" s="115"/>
      <x:c r="N20" s="123" t="str">
        <x:f>IF(OR(L20="",M20=""),"",L20*M20)</x:f>
      </x:c>
      <x:c r="O20" s="124"/>
      <x:c r="P20" s="125"/>
      <x:c r="Q20" s="126"/>
      <x:c r="R20" s="123" t="str">
        <x:f>IF(C20="","",SUM(N20:Q20))</x:f>
      </x:c>
      <x:c r="S20" s="123" t="str">
        <x:f>IF(C20="","",SUMIF(Expenses!$B$7:$B$56,C20,Expenses!$H$7:$H$56))</x:f>
      </x:c>
      <x:c r="T20" s="123" t="str">
        <x:f>IF(C20="","",SUMIF(Expenses!$B$7:$B$56,C20,Expenses!$G$7:$G$56))</x:f>
      </x:c>
      <x:c r="U20" s="183" t="str">
        <x:f>IF(C20="","",SUMIF(Advances!$B$7:$B$26,C20,Advances!$C$7:$C$26))</x:f>
      </x:c>
      <x:c r="V20" s="123" t="str">
        <x:f>IF(C20="","",MAX(0,(R20-T20)*$K$4))</x:f>
      </x:c>
      <x:c r="W20" s="128" t="str">
        <x:f>IF(C20="","",R20+S20-T20-U20-V20)</x:f>
      </x:c>
      <x:c r="X20" s="139"/>
    </x:row>
    <x:row r="21" ht="22" customHeight="1">
      <x:c r="A21" s="98"/>
      <x:c r="B21" s="99"/>
      <x:c r="C21" s="59"/>
      <x:c r="D21" s="59"/>
      <x:c r="E21" s="59"/>
      <x:c r="F21" s="59"/>
      <x:c r="G21" s="136"/>
      <x:c r="H21" s="136"/>
      <x:c r="I21" s="106"/>
      <x:c r="J21" s="107"/>
      <x:c r="K21" s="108" t="str">
        <x:f>IF(OR(I21="",J21=""),"",J21-I21)</x:f>
      </x:c>
      <x:c r="L21" s="109"/>
      <x:c r="M21" s="115"/>
      <x:c r="N21" s="123" t="str">
        <x:f>IF(OR(L21="",M21=""),"",L21*M21)</x:f>
      </x:c>
      <x:c r="O21" s="124"/>
      <x:c r="P21" s="125"/>
      <x:c r="Q21" s="126"/>
      <x:c r="R21" s="123" t="str">
        <x:f>IF(C21="","",SUM(N21:Q21))</x:f>
      </x:c>
      <x:c r="S21" s="123" t="str">
        <x:f>IF(C21="","",SUMIF(Expenses!$B$7:$B$56,C21,Expenses!$H$7:$H$56))</x:f>
      </x:c>
      <x:c r="T21" s="123" t="str">
        <x:f>IF(C21="","",SUMIF(Expenses!$B$7:$B$56,C21,Expenses!$G$7:$G$56))</x:f>
      </x:c>
      <x:c r="U21" s="183" t="str">
        <x:f>IF(C21="","",SUMIF(Advances!$B$7:$B$26,C21,Advances!$C$7:$C$26))</x:f>
      </x:c>
      <x:c r="V21" s="123" t="str">
        <x:f>IF(C21="","",MAX(0,(R21-T21)*$K$4))</x:f>
      </x:c>
      <x:c r="W21" s="128" t="str">
        <x:f>IF(C21="","",R21+S21-T21-U21-V21)</x:f>
      </x:c>
      <x:c r="X21" s="139"/>
    </x:row>
    <x:row r="22" ht="22" customHeight="1">
      <x:c r="A22" s="98"/>
      <x:c r="B22" s="99"/>
      <x:c r="C22" s="59"/>
      <x:c r="D22" s="59"/>
      <x:c r="E22" s="59"/>
      <x:c r="F22" s="59"/>
      <x:c r="G22" s="136"/>
      <x:c r="H22" s="136"/>
      <x:c r="I22" s="106"/>
      <x:c r="J22" s="107"/>
      <x:c r="K22" s="108" t="str">
        <x:f>IF(OR(I22="",J22=""),"",J22-I22)</x:f>
      </x:c>
      <x:c r="L22" s="109"/>
      <x:c r="M22" s="115"/>
      <x:c r="N22" s="123" t="str">
        <x:f>IF(OR(L22="",M22=""),"",L22*M22)</x:f>
      </x:c>
      <x:c r="O22" s="124"/>
      <x:c r="P22" s="125"/>
      <x:c r="Q22" s="126"/>
      <x:c r="R22" s="123" t="str">
        <x:f>IF(C22="","",SUM(N22:Q22))</x:f>
      </x:c>
      <x:c r="S22" s="123" t="str">
        <x:f>IF(C22="","",SUMIF(Expenses!$B$7:$B$56,C22,Expenses!$H$7:$H$56))</x:f>
      </x:c>
      <x:c r="T22" s="123" t="str">
        <x:f>IF(C22="","",SUMIF(Expenses!$B$7:$B$56,C22,Expenses!$G$7:$G$56))</x:f>
      </x:c>
      <x:c r="U22" s="183" t="str">
        <x:f>IF(C22="","",SUMIF(Advances!$B$7:$B$26,C22,Advances!$C$7:$C$26))</x:f>
      </x:c>
      <x:c r="V22" s="123" t="str">
        <x:f>IF(C22="","",MAX(0,(R22-T22)*$K$4))</x:f>
      </x:c>
      <x:c r="W22" s="128" t="str">
        <x:f>IF(C22="","",R22+S22-T22-U22-V22)</x:f>
      </x:c>
      <x:c r="X22" s="139"/>
    </x:row>
    <x:row r="23" ht="22" customHeight="1">
      <x:c r="A23" s="98"/>
      <x:c r="B23" s="99"/>
      <x:c r="C23" s="59"/>
      <x:c r="D23" s="59"/>
      <x:c r="E23" s="59"/>
      <x:c r="F23" s="59"/>
      <x:c r="G23" s="136"/>
      <x:c r="H23" s="136"/>
      <x:c r="I23" s="106"/>
      <x:c r="J23" s="107"/>
      <x:c r="K23" s="108" t="str">
        <x:f>IF(OR(I23="",J23=""),"",J23-I23)</x:f>
      </x:c>
      <x:c r="L23" s="109"/>
      <x:c r="M23" s="115"/>
      <x:c r="N23" s="123" t="str">
        <x:f>IF(OR(L23="",M23=""),"",L23*M23)</x:f>
      </x:c>
      <x:c r="O23" s="124"/>
      <x:c r="P23" s="125"/>
      <x:c r="Q23" s="126"/>
      <x:c r="R23" s="123" t="str">
        <x:f>IF(C23="","",SUM(N23:Q23))</x:f>
      </x:c>
      <x:c r="S23" s="123" t="str">
        <x:f>IF(C23="","",SUMIF(Expenses!$B$7:$B$56,C23,Expenses!$H$7:$H$56))</x:f>
      </x:c>
      <x:c r="T23" s="123" t="str">
        <x:f>IF(C23="","",SUMIF(Expenses!$B$7:$B$56,C23,Expenses!$G$7:$G$56))</x:f>
      </x:c>
      <x:c r="U23" s="183" t="str">
        <x:f>IF(C23="","",SUMIF(Advances!$B$7:$B$26,C23,Advances!$C$7:$C$26))</x:f>
      </x:c>
      <x:c r="V23" s="123" t="str">
        <x:f>IF(C23="","",MAX(0,(R23-T23)*$K$4))</x:f>
      </x:c>
      <x:c r="W23" s="128" t="str">
        <x:f>IF(C23="","",R23+S23-T23-U23-V23)</x:f>
      </x:c>
      <x:c r="X23" s="139"/>
    </x:row>
    <x:row r="24" ht="22" customHeight="1">
      <x:c r="A24" s="98"/>
      <x:c r="B24" s="99"/>
      <x:c r="C24" s="59"/>
      <x:c r="D24" s="59"/>
      <x:c r="E24" s="59"/>
      <x:c r="F24" s="59"/>
      <x:c r="G24" s="136"/>
      <x:c r="H24" s="136"/>
      <x:c r="I24" s="106"/>
      <x:c r="J24" s="107"/>
      <x:c r="K24" s="108" t="str">
        <x:f>IF(OR(I24="",J24=""),"",J24-I24)</x:f>
      </x:c>
      <x:c r="L24" s="109"/>
      <x:c r="M24" s="115"/>
      <x:c r="N24" s="123" t="str">
        <x:f>IF(OR(L24="",M24=""),"",L24*M24)</x:f>
      </x:c>
      <x:c r="O24" s="124"/>
      <x:c r="P24" s="125"/>
      <x:c r="Q24" s="126"/>
      <x:c r="R24" s="123" t="str">
        <x:f>IF(C24="","",SUM(N24:Q24))</x:f>
      </x:c>
      <x:c r="S24" s="123" t="str">
        <x:f>IF(C24="","",SUMIF(Expenses!$B$7:$B$56,C24,Expenses!$H$7:$H$56))</x:f>
      </x:c>
      <x:c r="T24" s="123" t="str">
        <x:f>IF(C24="","",SUMIF(Expenses!$B$7:$B$56,C24,Expenses!$G$7:$G$56))</x:f>
      </x:c>
      <x:c r="U24" s="183" t="str">
        <x:f>IF(C24="","",SUMIF(Advances!$B$7:$B$26,C24,Advances!$C$7:$C$26))</x:f>
      </x:c>
      <x:c r="V24" s="123" t="str">
        <x:f>IF(C24="","",MAX(0,(R24-T24)*$K$4))</x:f>
      </x:c>
      <x:c r="W24" s="128" t="str">
        <x:f>IF(C24="","",R24+S24-T24-U24-V24)</x:f>
      </x:c>
      <x:c r="X24" s="139"/>
    </x:row>
    <x:row r="25" ht="22" customHeight="1">
      <x:c r="A25" s="98"/>
      <x:c r="B25" s="99"/>
      <x:c r="C25" s="59"/>
      <x:c r="D25" s="59"/>
      <x:c r="E25" s="59"/>
      <x:c r="F25" s="59"/>
      <x:c r="G25" s="136"/>
      <x:c r="H25" s="136"/>
      <x:c r="I25" s="106"/>
      <x:c r="J25" s="107"/>
      <x:c r="K25" s="108" t="str">
        <x:f>IF(OR(I25="",J25=""),"",J25-I25)</x:f>
      </x:c>
      <x:c r="L25" s="109"/>
      <x:c r="M25" s="115"/>
      <x:c r="N25" s="123" t="str">
        <x:f>IF(OR(L25="",M25=""),"",L25*M25)</x:f>
      </x:c>
      <x:c r="O25" s="124"/>
      <x:c r="P25" s="125"/>
      <x:c r="Q25" s="126"/>
      <x:c r="R25" s="123" t="str">
        <x:f>IF(C25="","",SUM(N25:Q25))</x:f>
      </x:c>
      <x:c r="S25" s="123" t="str">
        <x:f>IF(C25="","",SUMIF(Expenses!$B$7:$B$56,C25,Expenses!$H$7:$H$56))</x:f>
      </x:c>
      <x:c r="T25" s="123" t="str">
        <x:f>IF(C25="","",SUMIF(Expenses!$B$7:$B$56,C25,Expenses!$G$7:$G$56))</x:f>
      </x:c>
      <x:c r="U25" s="183" t="str">
        <x:f>IF(C25="","",SUMIF(Advances!$B$7:$B$26,C25,Advances!$C$7:$C$26))</x:f>
      </x:c>
      <x:c r="V25" s="123" t="str">
        <x:f>IF(C25="","",MAX(0,(R25-T25)*$K$4))</x:f>
      </x:c>
      <x:c r="W25" s="128" t="str">
        <x:f>IF(C25="","",R25+S25-T25-U25-V25)</x:f>
      </x:c>
      <x:c r="X25" s="139"/>
    </x:row>
    <x:row r="26" ht="22" customHeight="1">
      <x:c r="A26" s="98"/>
      <x:c r="B26" s="99"/>
      <x:c r="C26" s="59"/>
      <x:c r="D26" s="59"/>
      <x:c r="E26" s="59"/>
      <x:c r="F26" s="59"/>
      <x:c r="G26" s="136"/>
      <x:c r="H26" s="136"/>
      <x:c r="I26" s="106"/>
      <x:c r="J26" s="107"/>
      <x:c r="K26" s="108" t="str">
        <x:f>IF(OR(I26="",J26=""),"",J26-I26)</x:f>
      </x:c>
      <x:c r="L26" s="109"/>
      <x:c r="M26" s="115"/>
      <x:c r="N26" s="123" t="str">
        <x:f>IF(OR(L26="",M26=""),"",L26*M26)</x:f>
      </x:c>
      <x:c r="O26" s="124"/>
      <x:c r="P26" s="125"/>
      <x:c r="Q26" s="126"/>
      <x:c r="R26" s="123" t="str">
        <x:f>IF(C26="","",SUM(N26:Q26))</x:f>
      </x:c>
      <x:c r="S26" s="123" t="str">
        <x:f>IF(C26="","",SUMIF(Expenses!$B$7:$B$56,C26,Expenses!$H$7:$H$56))</x:f>
      </x:c>
      <x:c r="T26" s="123" t="str">
        <x:f>IF(C26="","",SUMIF(Expenses!$B$7:$B$56,C26,Expenses!$G$7:$G$56))</x:f>
      </x:c>
      <x:c r="U26" s="183" t="str">
        <x:f>IF(C26="","",SUMIF(Advances!$B$7:$B$26,C26,Advances!$C$7:$C$26))</x:f>
      </x:c>
      <x:c r="V26" s="123" t="str">
        <x:f>IF(C26="","",MAX(0,(R26-T26)*$K$4))</x:f>
      </x:c>
      <x:c r="W26" s="128" t="str">
        <x:f>IF(C26="","",R26+S26-T26-U26-V26)</x:f>
      </x:c>
      <x:c r="X26" s="139"/>
    </x:row>
    <x:row r="27" ht="22" customHeight="1">
      <x:c r="A27" s="98"/>
      <x:c r="B27" s="99"/>
      <x:c r="C27" s="59"/>
      <x:c r="D27" s="59"/>
      <x:c r="E27" s="59"/>
      <x:c r="F27" s="59"/>
      <x:c r="G27" s="136"/>
      <x:c r="H27" s="136"/>
      <x:c r="I27" s="106"/>
      <x:c r="J27" s="107"/>
      <x:c r="K27" s="108" t="str">
        <x:f>IF(OR(I27="",J27=""),"",J27-I27)</x:f>
      </x:c>
      <x:c r="L27" s="109"/>
      <x:c r="M27" s="115"/>
      <x:c r="N27" s="123" t="str">
        <x:f>IF(OR(L27="",M27=""),"",L27*M27)</x:f>
      </x:c>
      <x:c r="O27" s="124"/>
      <x:c r="P27" s="125"/>
      <x:c r="Q27" s="126"/>
      <x:c r="R27" s="123" t="str">
        <x:f>IF(C27="","",SUM(N27:Q27))</x:f>
      </x:c>
      <x:c r="S27" s="123" t="str">
        <x:f>IF(C27="","",SUMIF(Expenses!$B$7:$B$56,C27,Expenses!$H$7:$H$56))</x:f>
      </x:c>
      <x:c r="T27" s="123" t="str">
        <x:f>IF(C27="","",SUMIF(Expenses!$B$7:$B$56,C27,Expenses!$G$7:$G$56))</x:f>
      </x:c>
      <x:c r="U27" s="183" t="str">
        <x:f>IF(C27="","",SUMIF(Advances!$B$7:$B$26,C27,Advances!$C$7:$C$26))</x:f>
      </x:c>
      <x:c r="V27" s="123" t="str">
        <x:f>IF(C27="","",MAX(0,(R27-T27)*$K$4))</x:f>
      </x:c>
      <x:c r="W27" s="128" t="str">
        <x:f>IF(C27="","",R27+S27-T27-U27-V27)</x:f>
      </x:c>
      <x:c r="X27" s="139"/>
    </x:row>
    <x:row r="28" ht="22" customHeight="1">
      <x:c r="A28" s="98"/>
      <x:c r="B28" s="99"/>
      <x:c r="C28" s="59"/>
      <x:c r="D28" s="59"/>
      <x:c r="E28" s="59"/>
      <x:c r="F28" s="59"/>
      <x:c r="G28" s="136"/>
      <x:c r="H28" s="136"/>
      <x:c r="I28" s="106"/>
      <x:c r="J28" s="107"/>
      <x:c r="K28" s="108" t="str">
        <x:f>IF(OR(I28="",J28=""),"",J28-I28)</x:f>
      </x:c>
      <x:c r="L28" s="109"/>
      <x:c r="M28" s="115"/>
      <x:c r="N28" s="123" t="str">
        <x:f>IF(OR(L28="",M28=""),"",L28*M28)</x:f>
      </x:c>
      <x:c r="O28" s="124"/>
      <x:c r="P28" s="125"/>
      <x:c r="Q28" s="126"/>
      <x:c r="R28" s="123" t="str">
        <x:f>IF(C28="","",SUM(N28:Q28))</x:f>
      </x:c>
      <x:c r="S28" s="123" t="str">
        <x:f>IF(C28="","",SUMIF(Expenses!$B$7:$B$56,C28,Expenses!$H$7:$H$56))</x:f>
      </x:c>
      <x:c r="T28" s="123" t="str">
        <x:f>IF(C28="","",SUMIF(Expenses!$B$7:$B$56,C28,Expenses!$G$7:$G$56))</x:f>
      </x:c>
      <x:c r="U28" s="183" t="str">
        <x:f>IF(C28="","",SUMIF(Advances!$B$7:$B$26,C28,Advances!$C$7:$C$26))</x:f>
      </x:c>
      <x:c r="V28" s="123" t="str">
        <x:f>IF(C28="","",MAX(0,(R28-T28)*$K$4))</x:f>
      </x:c>
      <x:c r="W28" s="128" t="str">
        <x:f>IF(C28="","",R28+S28-T28-U28-V28)</x:f>
      </x:c>
      <x:c r="X28" s="139"/>
    </x:row>
    <x:row r="29" ht="22" customHeight="1">
      <x:c r="A29" s="98"/>
      <x:c r="B29" s="99"/>
      <x:c r="C29" s="59"/>
      <x:c r="D29" s="59"/>
      <x:c r="E29" s="59"/>
      <x:c r="F29" s="59"/>
      <x:c r="G29" s="136"/>
      <x:c r="H29" s="136"/>
      <x:c r="I29" s="106"/>
      <x:c r="J29" s="107"/>
      <x:c r="K29" s="108" t="str">
        <x:f>IF(OR(I29="",J29=""),"",J29-I29)</x:f>
      </x:c>
      <x:c r="L29" s="109"/>
      <x:c r="M29" s="115"/>
      <x:c r="N29" s="123" t="str">
        <x:f>IF(OR(L29="",M29=""),"",L29*M29)</x:f>
      </x:c>
      <x:c r="O29" s="124"/>
      <x:c r="P29" s="125"/>
      <x:c r="Q29" s="126"/>
      <x:c r="R29" s="123" t="str">
        <x:f>IF(C29="","",SUM(N29:Q29))</x:f>
      </x:c>
      <x:c r="S29" s="123" t="str">
        <x:f>IF(C29="","",SUMIF(Expenses!$B$7:$B$56,C29,Expenses!$H$7:$H$56))</x:f>
      </x:c>
      <x:c r="T29" s="123" t="str">
        <x:f>IF(C29="","",SUMIF(Expenses!$B$7:$B$56,C29,Expenses!$G$7:$G$56))</x:f>
      </x:c>
      <x:c r="U29" s="183" t="str">
        <x:f>IF(C29="","",SUMIF(Advances!$B$7:$B$26,C29,Advances!$C$7:$C$26))</x:f>
      </x:c>
      <x:c r="V29" s="123" t="str">
        <x:f>IF(C29="","",MAX(0,(R29-T29)*$K$4))</x:f>
      </x:c>
      <x:c r="W29" s="128" t="str">
        <x:f>IF(C29="","",R29+S29-T29-U29-V29)</x:f>
      </x:c>
      <x:c r="X29" s="139"/>
    </x:row>
    <x:row r="30" ht="22" customHeight="1">
      <x:c r="A30" s="100"/>
      <x:c r="B30" s="101"/>
      <x:c r="C30" s="70"/>
      <x:c r="D30" s="70"/>
      <x:c r="E30" s="70"/>
      <x:c r="F30" s="70"/>
      <x:c r="G30" s="137"/>
      <x:c r="H30" s="137"/>
      <x:c r="I30" s="110"/>
      <x:c r="J30" s="111"/>
      <x:c r="K30" s="112" t="str">
        <x:f>IF(OR(I30="",J30=""),"",J30-I30)</x:f>
      </x:c>
      <x:c r="L30" s="113"/>
      <x:c r="M30" s="116"/>
      <x:c r="N30" s="129" t="str">
        <x:f>IF(OR(L30="",M30=""),"",L30*M30)</x:f>
      </x:c>
      <x:c r="O30" s="130"/>
      <x:c r="P30" s="131"/>
      <x:c r="Q30" s="132"/>
      <x:c r="R30" s="129" t="str">
        <x:f>IF(C30="","",SUM(N30:Q30))</x:f>
      </x:c>
      <x:c r="S30" s="129" t="str">
        <x:f>IF(C30="","",SUMIF(Expenses!$B$7:$B$56,C30,Expenses!$H$7:$H$56))</x:f>
      </x:c>
      <x:c r="T30" s="129" t="str">
        <x:f>IF(C30="","",SUMIF(Expenses!$B$7:$B$56,C30,Expenses!$G$7:$G$56))</x:f>
      </x:c>
      <x:c r="U30" s="184" t="str">
        <x:f>IF(C30="","",SUMIF(Advances!$B$7:$B$26,C30,Advances!$C$7:$C$26))</x:f>
      </x:c>
      <x:c r="V30" s="129" t="str">
        <x:f>IF(C30="","",MAX(0,(R30-T30)*$K$4))</x:f>
      </x:c>
      <x:c r="W30" s="134" t="str">
        <x:f>IF(C30="","",R30+S30-T30-U30-V30)</x:f>
      </x:c>
      <x:c r="X30" s="140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</x:row>
    <x:row r="32">
      <x:c r="A32" s="142" t="str">
        <x:v>Yellow cells are inputs. Green cells calculate automatically. Tax reserve is an estimate and can be changed in K4.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</x:row>
    <x:row r="33">
      <x:c r="A33" s="186" t="str">
        <x:v>PDF export: choose a trip in N4, save this workbook, then run Export_Settlement.bat. Mileage differences require confirmation.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</x:row>
  </x:sheetData>
  <x:mergeCells>
    <x:mergeCell ref="A2:X2"/>
    <x:mergeCell ref="A7:C8"/>
    <x:mergeCell ref="D7:F8"/>
    <x:mergeCell ref="G7:I8"/>
    <x:mergeCell ref="J7:L8"/>
    <x:mergeCell ref="M7:O8"/>
    <x:mergeCell ref="P7:R8"/>
    <x:mergeCell ref="S7:U8"/>
    <x:mergeCell ref="V7:W8"/>
    <x:mergeCell ref="A32:X32"/>
    <x:mergeCell ref="Q4:S4"/>
    <x:mergeCell ref="A33:X33"/>
  </x:mergeCells>
  <x:conditionalFormatting sqref="S7:W8">
    <x:cfRule type="cellIs" dxfId="0" priority="1" operator="notEqual">
      <x:formula>0</x:formula>
    </x:cfRule>
  </x:conditionalFormatting>
  <x:conditionalFormatting sqref="Q4:S4">
    <x:cfRule type="containsText" dxfId="2" priority="2" operator="containsText" text="not found"/>
  </x:conditionalFormatting>
  <x:dataValidations count="1">
    <x:dataValidation type="list" sqref="N4">
      <x:formula1>$C$11:$C$30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14" hidden="0" customWidth="1"/>
    <x:col min="4" max="4" width="30" hidden="0" customWidth="1"/>
    <x:col min="5" max="5" width="9" hidden="0" customWidth="1"/>
    <x:col min="6" max="6" width="18" hidden="0" customWidth="1"/>
    <x:col min="7" max="7" width="15" hidden="0" customWidth="1"/>
    <x:col min="8" max="8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>
      <x:c r="A2" s="3" t="str">
        <x:v>Trip Expenses and Reimbursements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>
      <x:c r="A3" s="4"/>
      <x:c r="B3" s="4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>
      <x:c r="A4" s="143" t="str">
        <x:v>Enter only money you personally paid. Put company repayment in Reimbursement received.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 ht="32" customHeight="1">
      <x:c r="A6" s="36" t="str">
        <x:v>Date</x:v>
      </x:c>
      <x:c r="B6" s="36" t="str">
        <x:v>Trip #</x:v>
      </x:c>
      <x:c r="C6" s="36" t="str">
        <x:v>Category</x:v>
      </x:c>
      <x:c r="D6" s="36" t="str">
        <x:v>Vendor / description</x:v>
      </x:c>
      <x:c r="E6" s="36" t="str">
        <x:v>State</x:v>
      </x:c>
      <x:c r="F6" s="36" t="str">
        <x:v>Receipt / invoice</x:v>
      </x:c>
      <x:c r="G6" s="36" t="str">
        <x:v>Amount paid</x:v>
      </x:c>
      <x:c r="H6" s="36" t="str">
        <x:v>Reimbursement received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</x:row>
    <x:row r="7">
      <x:c r="A7" s="152"/>
      <x:c r="B7" s="145" t="str">
        <x:v>39586</x:v>
      </x:c>
      <x:c r="C7" s="145" t="str">
        <x:v>Supplies</x:v>
      </x:c>
      <x:c r="D7" s="145" t="str">
        <x:v>Walmart pliers</x:v>
      </x:c>
      <x:c r="E7" s="145" t="str"/>
      <x:c r="F7" s="145" t="str"/>
      <x:c r="G7" s="155"/>
      <x:c r="H7" s="156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</x:row>
    <x:row r="8">
      <x:c r="A8" s="153"/>
      <x:c r="B8" s="7" t="str"/>
      <x:c r="C8" s="7" t="str"/>
      <x:c r="D8" s="7" t="str"/>
      <x:c r="E8" s="7" t="str"/>
      <x:c r="F8" s="7" t="str"/>
      <x:c r="G8" s="157"/>
      <x:c r="H8" s="158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</x:row>
    <x:row r="9">
      <x:c r="A9" s="153"/>
      <x:c r="B9" s="7" t="str"/>
      <x:c r="C9" s="7" t="str"/>
      <x:c r="D9" s="7" t="str"/>
      <x:c r="E9" s="7" t="str"/>
      <x:c r="F9" s="7" t="str"/>
      <x:c r="G9" s="157"/>
      <x:c r="H9" s="158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</x:row>
    <x:row r="10">
      <x:c r="A10" s="153"/>
      <x:c r="B10" s="7" t="str"/>
      <x:c r="C10" s="7" t="str"/>
      <x:c r="D10" s="7" t="str"/>
      <x:c r="E10" s="7" t="str"/>
      <x:c r="F10" s="7" t="str"/>
      <x:c r="G10" s="157"/>
      <x:c r="H10" s="158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</x:row>
    <x:row r="11">
      <x:c r="A11" s="153"/>
      <x:c r="B11" s="7" t="str"/>
      <x:c r="C11" s="7" t="str"/>
      <x:c r="D11" s="7" t="str"/>
      <x:c r="E11" s="7" t="str"/>
      <x:c r="F11" s="7" t="str"/>
      <x:c r="G11" s="157"/>
      <x:c r="H11" s="158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</x:row>
    <x:row r="12">
      <x:c r="A12" s="153"/>
      <x:c r="B12" s="7" t="str"/>
      <x:c r="C12" s="7" t="str"/>
      <x:c r="D12" s="7" t="str"/>
      <x:c r="E12" s="7" t="str"/>
      <x:c r="F12" s="7" t="str"/>
      <x:c r="G12" s="157"/>
      <x:c r="H12" s="158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</x:row>
    <x:row r="13">
      <x:c r="A13" s="153"/>
      <x:c r="B13" s="7" t="str"/>
      <x:c r="C13" s="7" t="str"/>
      <x:c r="D13" s="7" t="str"/>
      <x:c r="E13" s="7" t="str"/>
      <x:c r="F13" s="7" t="str"/>
      <x:c r="G13" s="157"/>
      <x:c r="H13" s="158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</x:row>
    <x:row r="14">
      <x:c r="A14" s="153"/>
      <x:c r="B14" s="7" t="str"/>
      <x:c r="C14" s="7" t="str"/>
      <x:c r="D14" s="7" t="str"/>
      <x:c r="E14" s="7" t="str"/>
      <x:c r="F14" s="7" t="str"/>
      <x:c r="G14" s="157"/>
      <x:c r="H14" s="158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</x:row>
    <x:row r="15">
      <x:c r="A15" s="153"/>
      <x:c r="B15" s="7" t="str"/>
      <x:c r="C15" s="7" t="str"/>
      <x:c r="D15" s="7" t="str"/>
      <x:c r="E15" s="7" t="str"/>
      <x:c r="F15" s="7" t="str"/>
      <x:c r="G15" s="157"/>
      <x:c r="H15" s="158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</x:row>
    <x:row r="16">
      <x:c r="A16" s="153"/>
      <x:c r="B16" s="7" t="str"/>
      <x:c r="C16" s="7" t="str"/>
      <x:c r="D16" s="7" t="str"/>
      <x:c r="E16" s="7" t="str"/>
      <x:c r="F16" s="7" t="str"/>
      <x:c r="G16" s="157"/>
      <x:c r="H16" s="158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</x:row>
    <x:row r="17">
      <x:c r="A17" s="153"/>
      <x:c r="B17" s="7" t="str"/>
      <x:c r="C17" s="7" t="str"/>
      <x:c r="D17" s="7" t="str"/>
      <x:c r="E17" s="7" t="str"/>
      <x:c r="F17" s="7" t="str"/>
      <x:c r="G17" s="157"/>
      <x:c r="H17" s="158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</x:row>
    <x:row r="18">
      <x:c r="A18" s="153"/>
      <x:c r="B18" s="7" t="str"/>
      <x:c r="C18" s="7" t="str"/>
      <x:c r="D18" s="7" t="str"/>
      <x:c r="E18" s="7" t="str"/>
      <x:c r="F18" s="7" t="str"/>
      <x:c r="G18" s="157"/>
      <x:c r="H18" s="158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</x:row>
    <x:row r="19">
      <x:c r="A19" s="153"/>
      <x:c r="B19" s="7" t="str"/>
      <x:c r="C19" s="7" t="str"/>
      <x:c r="D19" s="7" t="str"/>
      <x:c r="E19" s="7" t="str"/>
      <x:c r="F19" s="7" t="str"/>
      <x:c r="G19" s="157"/>
      <x:c r="H19" s="158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</x:row>
    <x:row r="20">
      <x:c r="A20" s="153"/>
      <x:c r="B20" s="7" t="str"/>
      <x:c r="C20" s="7" t="str"/>
      <x:c r="D20" s="7" t="str"/>
      <x:c r="E20" s="7" t="str"/>
      <x:c r="F20" s="7" t="str"/>
      <x:c r="G20" s="157"/>
      <x:c r="H20" s="158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</x:row>
    <x:row r="21">
      <x:c r="A21" s="153"/>
      <x:c r="B21" s="7" t="str"/>
      <x:c r="C21" s="7" t="str"/>
      <x:c r="D21" s="7" t="str"/>
      <x:c r="E21" s="7" t="str"/>
      <x:c r="F21" s="7" t="str"/>
      <x:c r="G21" s="157"/>
      <x:c r="H21" s="158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</x:row>
    <x:row r="22">
      <x:c r="A22" s="153"/>
      <x:c r="B22" s="7" t="str"/>
      <x:c r="C22" s="7" t="str"/>
      <x:c r="D22" s="7" t="str"/>
      <x:c r="E22" s="7" t="str"/>
      <x:c r="F22" s="7" t="str"/>
      <x:c r="G22" s="157"/>
      <x:c r="H22" s="158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</x:row>
    <x:row r="23">
      <x:c r="A23" s="153"/>
      <x:c r="B23" s="7" t="str"/>
      <x:c r="C23" s="7" t="str"/>
      <x:c r="D23" s="7" t="str"/>
      <x:c r="E23" s="7" t="str"/>
      <x:c r="F23" s="7" t="str"/>
      <x:c r="G23" s="157"/>
      <x:c r="H23" s="158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</x:row>
    <x:row r="24">
      <x:c r="A24" s="153"/>
      <x:c r="B24" s="7" t="str"/>
      <x:c r="C24" s="7" t="str"/>
      <x:c r="D24" s="7" t="str"/>
      <x:c r="E24" s="7" t="str"/>
      <x:c r="F24" s="7" t="str"/>
      <x:c r="G24" s="157"/>
      <x:c r="H24" s="158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</x:row>
    <x:row r="25">
      <x:c r="A25" s="153"/>
      <x:c r="B25" s="7" t="str"/>
      <x:c r="C25" s="7" t="str"/>
      <x:c r="D25" s="7" t="str"/>
      <x:c r="E25" s="7" t="str"/>
      <x:c r="F25" s="7" t="str"/>
      <x:c r="G25" s="157"/>
      <x:c r="H25" s="158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</x:row>
    <x:row r="26">
      <x:c r="A26" s="153"/>
      <x:c r="B26" s="7" t="str"/>
      <x:c r="C26" s="7" t="str"/>
      <x:c r="D26" s="7" t="str"/>
      <x:c r="E26" s="7" t="str"/>
      <x:c r="F26" s="7" t="str"/>
      <x:c r="G26" s="157"/>
      <x:c r="H26" s="158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</x:row>
    <x:row r="27">
      <x:c r="A27" s="153"/>
      <x:c r="B27" s="7" t="str"/>
      <x:c r="C27" s="7" t="str"/>
      <x:c r="D27" s="7" t="str"/>
      <x:c r="E27" s="7" t="str"/>
      <x:c r="F27" s="7" t="str"/>
      <x:c r="G27" s="157"/>
      <x:c r="H27" s="158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</x:row>
    <x:row r="28">
      <x:c r="A28" s="153"/>
      <x:c r="B28" s="7" t="str"/>
      <x:c r="C28" s="7" t="str"/>
      <x:c r="D28" s="7" t="str"/>
      <x:c r="E28" s="7" t="str"/>
      <x:c r="F28" s="7" t="str"/>
      <x:c r="G28" s="157"/>
      <x:c r="H28" s="158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</x:row>
    <x:row r="29">
      <x:c r="A29" s="153"/>
      <x:c r="B29" s="7" t="str"/>
      <x:c r="C29" s="7" t="str"/>
      <x:c r="D29" s="7" t="str"/>
      <x:c r="E29" s="7" t="str"/>
      <x:c r="F29" s="7" t="str"/>
      <x:c r="G29" s="157"/>
      <x:c r="H29" s="158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</x:row>
    <x:row r="30">
      <x:c r="A30" s="153"/>
      <x:c r="B30" s="7" t="str"/>
      <x:c r="C30" s="7" t="str"/>
      <x:c r="D30" s="7" t="str"/>
      <x:c r="E30" s="7" t="str"/>
      <x:c r="F30" s="7" t="str"/>
      <x:c r="G30" s="157"/>
      <x:c r="H30" s="158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</x:row>
    <x:row r="31">
      <x:c r="A31" s="153"/>
      <x:c r="B31" s="7" t="str"/>
      <x:c r="C31" s="7" t="str"/>
      <x:c r="D31" s="7" t="str"/>
      <x:c r="E31" s="7" t="str"/>
      <x:c r="F31" s="7" t="str"/>
      <x:c r="G31" s="157"/>
      <x:c r="H31" s="158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</x:row>
    <x:row r="32">
      <x:c r="A32" s="153"/>
      <x:c r="B32" s="7" t="str"/>
      <x:c r="C32" s="7" t="str"/>
      <x:c r="D32" s="7" t="str"/>
      <x:c r="E32" s="7" t="str"/>
      <x:c r="F32" s="7" t="str"/>
      <x:c r="G32" s="157"/>
      <x:c r="H32" s="158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</x:row>
    <x:row r="33">
      <x:c r="A33" s="153"/>
      <x:c r="B33" s="7" t="str"/>
      <x:c r="C33" s="7" t="str"/>
      <x:c r="D33" s="7" t="str"/>
      <x:c r="E33" s="7" t="str"/>
      <x:c r="F33" s="7" t="str"/>
      <x:c r="G33" s="157"/>
      <x:c r="H33" s="158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</x:row>
    <x:row r="34">
      <x:c r="A34" s="153"/>
      <x:c r="B34" s="7" t="str"/>
      <x:c r="C34" s="7" t="str"/>
      <x:c r="D34" s="7" t="str"/>
      <x:c r="E34" s="7" t="str"/>
      <x:c r="F34" s="7" t="str"/>
      <x:c r="G34" s="157"/>
      <x:c r="H34" s="158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</x:row>
    <x:row r="35">
      <x:c r="A35" s="153"/>
      <x:c r="B35" s="7" t="str"/>
      <x:c r="C35" s="7" t="str"/>
      <x:c r="D35" s="7" t="str"/>
      <x:c r="E35" s="7" t="str"/>
      <x:c r="F35" s="7" t="str"/>
      <x:c r="G35" s="157"/>
      <x:c r="H35" s="158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</x:row>
    <x:row r="36">
      <x:c r="A36" s="153"/>
      <x:c r="B36" s="7" t="str"/>
      <x:c r="C36" s="7" t="str"/>
      <x:c r="D36" s="7" t="str"/>
      <x:c r="E36" s="7" t="str"/>
      <x:c r="F36" s="7" t="str"/>
      <x:c r="G36" s="157"/>
      <x:c r="H36" s="158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</x:row>
    <x:row r="37">
      <x:c r="A37" s="153"/>
      <x:c r="B37" s="7" t="str"/>
      <x:c r="C37" s="7" t="str"/>
      <x:c r="D37" s="7" t="str"/>
      <x:c r="E37" s="7" t="str"/>
      <x:c r="F37" s="7" t="str"/>
      <x:c r="G37" s="157"/>
      <x:c r="H37" s="158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</x:row>
    <x:row r="38">
      <x:c r="A38" s="153"/>
      <x:c r="B38" s="7" t="str"/>
      <x:c r="C38" s="7" t="str"/>
      <x:c r="D38" s="7" t="str"/>
      <x:c r="E38" s="7" t="str"/>
      <x:c r="F38" s="7" t="str"/>
      <x:c r="G38" s="157"/>
      <x:c r="H38" s="158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</x:row>
    <x:row r="39">
      <x:c r="A39" s="153"/>
      <x:c r="B39" s="7" t="str"/>
      <x:c r="C39" s="7" t="str"/>
      <x:c r="D39" s="7" t="str"/>
      <x:c r="E39" s="7" t="str"/>
      <x:c r="F39" s="7" t="str"/>
      <x:c r="G39" s="157"/>
      <x:c r="H39" s="158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</x:row>
    <x:row r="40">
      <x:c r="A40" s="153"/>
      <x:c r="B40" s="7" t="str"/>
      <x:c r="C40" s="7" t="str"/>
      <x:c r="D40" s="7" t="str"/>
      <x:c r="E40" s="7" t="str"/>
      <x:c r="F40" s="7" t="str"/>
      <x:c r="G40" s="157"/>
      <x:c r="H40" s="158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</x:row>
    <x:row r="41">
      <x:c r="A41" s="153"/>
      <x:c r="B41" s="7" t="str"/>
      <x:c r="C41" s="7" t="str"/>
      <x:c r="D41" s="7" t="str"/>
      <x:c r="E41" s="7" t="str"/>
      <x:c r="F41" s="7" t="str"/>
      <x:c r="G41" s="157"/>
      <x:c r="H41" s="158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</x:row>
    <x:row r="42">
      <x:c r="A42" s="153"/>
      <x:c r="B42" s="7" t="str"/>
      <x:c r="C42" s="7" t="str"/>
      <x:c r="D42" s="7" t="str"/>
      <x:c r="E42" s="7" t="str"/>
      <x:c r="F42" s="7" t="str"/>
      <x:c r="G42" s="157"/>
      <x:c r="H42" s="158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</x:row>
    <x:row r="43">
      <x:c r="A43" s="153"/>
      <x:c r="B43" s="7" t="str"/>
      <x:c r="C43" s="7" t="str"/>
      <x:c r="D43" s="7" t="str"/>
      <x:c r="E43" s="7" t="str"/>
      <x:c r="F43" s="7" t="str"/>
      <x:c r="G43" s="157"/>
      <x:c r="H43" s="158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</x:row>
    <x:row r="44">
      <x:c r="A44" s="153"/>
      <x:c r="B44" s="7" t="str"/>
      <x:c r="C44" s="7" t="str"/>
      <x:c r="D44" s="7" t="str"/>
      <x:c r="E44" s="7" t="str"/>
      <x:c r="F44" s="7" t="str"/>
      <x:c r="G44" s="157"/>
      <x:c r="H44" s="158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</x:row>
    <x:row r="45">
      <x:c r="A45" s="153"/>
      <x:c r="B45" s="7" t="str"/>
      <x:c r="C45" s="7" t="str"/>
      <x:c r="D45" s="7" t="str"/>
      <x:c r="E45" s="7" t="str"/>
      <x:c r="F45" s="7" t="str"/>
      <x:c r="G45" s="157"/>
      <x:c r="H45" s="158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</x:row>
    <x:row r="46">
      <x:c r="A46" s="153"/>
      <x:c r="B46" s="7" t="str"/>
      <x:c r="C46" s="7" t="str"/>
      <x:c r="D46" s="7" t="str"/>
      <x:c r="E46" s="7" t="str"/>
      <x:c r="F46" s="7" t="str"/>
      <x:c r="G46" s="157"/>
      <x:c r="H46" s="158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</x:row>
    <x:row r="47">
      <x:c r="A47" s="153"/>
      <x:c r="B47" s="7" t="str"/>
      <x:c r="C47" s="7" t="str"/>
      <x:c r="D47" s="7" t="str"/>
      <x:c r="E47" s="7" t="str"/>
      <x:c r="F47" s="7" t="str"/>
      <x:c r="G47" s="157"/>
      <x:c r="H47" s="158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</x:row>
    <x:row r="48">
      <x:c r="A48" s="153"/>
      <x:c r="B48" s="7" t="str"/>
      <x:c r="C48" s="7" t="str"/>
      <x:c r="D48" s="7" t="str"/>
      <x:c r="E48" s="7" t="str"/>
      <x:c r="F48" s="7" t="str"/>
      <x:c r="G48" s="157"/>
      <x:c r="H48" s="158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</x:row>
    <x:row r="49">
      <x:c r="A49" s="153"/>
      <x:c r="B49" s="7" t="str"/>
      <x:c r="C49" s="7" t="str"/>
      <x:c r="D49" s="7" t="str"/>
      <x:c r="E49" s="7" t="str"/>
      <x:c r="F49" s="7" t="str"/>
      <x:c r="G49" s="157"/>
      <x:c r="H49" s="158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</x:row>
    <x:row r="50">
      <x:c r="A50" s="153"/>
      <x:c r="B50" s="7" t="str"/>
      <x:c r="C50" s="7" t="str"/>
      <x:c r="D50" s="7" t="str"/>
      <x:c r="E50" s="7" t="str"/>
      <x:c r="F50" s="7" t="str"/>
      <x:c r="G50" s="157"/>
      <x:c r="H50" s="158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</x:row>
    <x:row r="51">
      <x:c r="A51" s="153"/>
      <x:c r="B51" s="7" t="str"/>
      <x:c r="C51" s="7" t="str"/>
      <x:c r="D51" s="7" t="str"/>
      <x:c r="E51" s="7" t="str"/>
      <x:c r="F51" s="7" t="str"/>
      <x:c r="G51" s="157"/>
      <x:c r="H51" s="158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</x:row>
    <x:row r="52">
      <x:c r="A52" s="153"/>
      <x:c r="B52" s="7" t="str"/>
      <x:c r="C52" s="7" t="str"/>
      <x:c r="D52" s="7" t="str"/>
      <x:c r="E52" s="7" t="str"/>
      <x:c r="F52" s="7" t="str"/>
      <x:c r="G52" s="157"/>
      <x:c r="H52" s="158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</x:row>
    <x:row r="53">
      <x:c r="A53" s="153"/>
      <x:c r="B53" s="7" t="str"/>
      <x:c r="C53" s="7" t="str"/>
      <x:c r="D53" s="7" t="str"/>
      <x:c r="E53" s="7" t="str"/>
      <x:c r="F53" s="7" t="str"/>
      <x:c r="G53" s="157"/>
      <x:c r="H53" s="158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</x:row>
    <x:row r="54">
      <x:c r="A54" s="153"/>
      <x:c r="B54" s="7" t="str"/>
      <x:c r="C54" s="7" t="str"/>
      <x:c r="D54" s="7" t="str"/>
      <x:c r="E54" s="7" t="str"/>
      <x:c r="F54" s="7" t="str"/>
      <x:c r="G54" s="157"/>
      <x:c r="H54" s="158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</x:row>
    <x:row r="55">
      <x:c r="A55" s="153"/>
      <x:c r="B55" s="7" t="str"/>
      <x:c r="C55" s="7" t="str"/>
      <x:c r="D55" s="7" t="str"/>
      <x:c r="E55" s="7" t="str"/>
      <x:c r="F55" s="7" t="str"/>
      <x:c r="G55" s="157"/>
      <x:c r="H55" s="158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</x:row>
    <x:row r="56">
      <x:c r="A56" s="154"/>
      <x:c r="B56" s="150" t="str"/>
      <x:c r="C56" s="150" t="str"/>
      <x:c r="D56" s="150" t="str"/>
      <x:c r="E56" s="150" t="str"/>
      <x:c r="F56" s="150" t="str"/>
      <x:c r="G56" s="159"/>
      <x:c r="H56" s="160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</x:row>
    <x:row r="58">
      <x:c r="A58" s="13" t="str">
        <x:v>Totals</x:v>
      </x:c>
      <x:c r="B58" s="13"/>
      <x:c r="C58" s="13"/>
      <x:c r="D58" s="13"/>
      <x:c r="E58" s="13"/>
      <x:c r="F58" s="13"/>
      <x:c r="G58" s="162" t="n">
        <x:f>SUM(G7:G56)</x:f>
        <x:v>0</x:v>
      </x:c>
      <x:c r="H58" s="162" t="n">
        <x:f>SUM(H7:H56)</x:f>
        <x:v>0</x:v>
      </x:c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</x:row>
  </x:sheetData>
  <x:mergeCells>
    <x:mergeCell ref="A2:H2"/>
    <x:mergeCell ref="A4:H4"/>
    <x:mergeCell ref="A58:F58"/>
  </x:mergeCells>
  <x:dataValidations count="1">
    <x:dataValidation type="list" sqref="C7:C56">
      <x:formula1>"Fuel,DEF,Scale,Toll,Repair,Lumper,Parking,Supplies,Other"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1" hidden="0" customWidth="1"/>
    <x:col min="4" max="4" width="32" hidden="0" customWidth="1"/>
    <x:col min="5" max="5" width="16" hidden="0" customWidth="1"/>
    <x:col min="6" max="6" width="2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>
      <x:c r="A2" s="3" t="str">
        <x:v>State Miles by Trip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>
      <x:c r="A3" s="4"/>
      <x:c r="B3" s="4"/>
      <x:c r="C3" s="4"/>
      <x:c r="D3" s="4"/>
      <x:c r="E3" s="4"/>
      <x:c r="F3" s="4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>
      <x:c r="A4" s="164" t="str">
        <x:v>Trip 39586 state rows reproduce the settlement entry. The total is 45 miles higher than the odometer miles.</x:v>
      </x:c>
      <x:c r="B4" s="2" t="str"/>
      <x:c r="C4" s="2" t="str"/>
      <x:c r="D4" s="2" t="str"/>
      <x:c r="E4" s="2" t="str"/>
      <x:c r="F4" s="2" t="str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 ht="32" customHeight="1">
      <x:c r="A6" s="36" t="str">
        <x:v>Trip #</x:v>
      </x:c>
      <x:c r="B6" s="36" t="str">
        <x:v>State</x:v>
      </x:c>
      <x:c r="C6" s="36" t="str">
        <x:v>Miles</x:v>
      </x:c>
      <x:c r="D6" s="36" t="str">
        <x:v>Highways used</x:v>
      </x:c>
      <x:c r="E6" s="36" t="str">
        <x:v>Trip state total</x:v>
      </x:c>
      <x:c r="F6" s="36" t="str">
        <x:v>Difference vs odometer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</x:row>
    <x:row r="7">
      <x:c r="A7" s="144" t="str">
        <x:v>39586</x:v>
      </x:c>
      <x:c r="B7" s="145" t="str">
        <x:v>CA</x:v>
      </x:c>
      <x:c r="C7" s="165" t="n">
        <x:v>287</x:v>
      </x:c>
      <x:c r="D7" s="146" t="str">
        <x:v>I-805, I-15</x:v>
      </x:c>
      <x:c r="E7" s="168" t="n">
        <x:f>IF(A7="","",SUMIF($A$7:$A$56,A7,$C$7:$C$56))</x:f>
        <x:v>2068</x:v>
      </x:c>
      <x:c r="F7" s="168" t="n">
        <x:f>IF(A7="","",E7-SUMIF('Weekly Pay'!$C$11:$C$30,A7,'Weekly Pay'!$K$11:$K$30))</x:f>
        <x:v>45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</x:row>
    <x:row r="8">
      <x:c r="A8" s="147" t="str">
        <x:v>39586</x:v>
      </x:c>
      <x:c r="B8" s="7" t="str">
        <x:v>NV</x:v>
      </x:c>
      <x:c r="C8" s="166" t="n">
        <x:v>124</x:v>
      </x:c>
      <x:c r="D8" s="148" t="str">
        <x:v>I-15</x:v>
      </x:c>
      <x:c r="E8" s="168" t="n">
        <x:f>IF(A8="","",SUMIF($A$7:$A$56,A8,$C$7:$C$56))</x:f>
        <x:v>2068</x:v>
      </x:c>
      <x:c r="F8" s="168" t="n">
        <x:f>IF(A8="","",E8-SUMIF('Weekly Pay'!$C$11:$C$30,A8,'Weekly Pay'!$K$11:$K$30))</x:f>
        <x:v>45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</x:row>
    <x:row r="9">
      <x:c r="A9" s="147" t="str">
        <x:v>39586</x:v>
      </x:c>
      <x:c r="B9" s="7" t="str">
        <x:v>AZ</x:v>
      </x:c>
      <x:c r="C9" s="166" t="n">
        <x:v>29</x:v>
      </x:c>
      <x:c r="D9" s="148" t="str">
        <x:v>I-15</x:v>
      </x:c>
      <x:c r="E9" s="168" t="n">
        <x:f>IF(A9="","",SUMIF($A$7:$A$56,A9,$C$7:$C$56))</x:f>
        <x:v>2068</x:v>
      </x:c>
      <x:c r="F9" s="168" t="n">
        <x:f>IF(A9="","",E9-SUMIF('Weekly Pay'!$C$11:$C$30,A9,'Weekly Pay'!$K$11:$K$30))</x:f>
        <x:v>45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</x:row>
    <x:row r="10">
      <x:c r="A10" s="147" t="str">
        <x:v>39586</x:v>
      </x:c>
      <x:c r="B10" s="7" t="str">
        <x:v>UT</x:v>
      </x:c>
      <x:c r="C10" s="166" t="n">
        <x:v>364</x:v>
      </x:c>
      <x:c r="D10" s="148" t="str">
        <x:v>I-15, I-70</x:v>
      </x:c>
      <x:c r="E10" s="168" t="n">
        <x:f>IF(A10="","",SUMIF($A$7:$A$56,A10,$C$7:$C$56))</x:f>
        <x:v>2068</x:v>
      </x:c>
      <x:c r="F10" s="168" t="n">
        <x:f>IF(A10="","",E10-SUMIF('Weekly Pay'!$C$11:$C$30,A10,'Weekly Pay'!$K$11:$K$30))</x:f>
        <x:v>45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</x:row>
    <x:row r="11">
      <x:c r="A11" s="147" t="str">
        <x:v>39586</x:v>
      </x:c>
      <x:c r="B11" s="7" t="str">
        <x:v>CO</x:v>
      </x:c>
      <x:c r="C11" s="166" t="n">
        <x:v>455</x:v>
      </x:c>
      <x:c r="D11" s="148" t="str">
        <x:v>I-70, I-76</x:v>
      </x:c>
      <x:c r="E11" s="168" t="n">
        <x:f>IF(A11="","",SUMIF($A$7:$A$56,A11,$C$7:$C$56))</x:f>
        <x:v>2068</x:v>
      </x:c>
      <x:c r="F11" s="168" t="n">
        <x:f>IF(A11="","",E11-SUMIF('Weekly Pay'!$C$11:$C$30,A11,'Weekly Pay'!$K$11:$K$30))</x:f>
        <x:v>45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</x:row>
    <x:row r="12">
      <x:c r="A12" s="147" t="str">
        <x:v>39586</x:v>
      </x:c>
      <x:c r="B12" s="7" t="str">
        <x:v>NE</x:v>
      </x:c>
      <x:c r="C12" s="166" t="n">
        <x:v>353</x:v>
      </x:c>
      <x:c r="D12" s="148" t="str">
        <x:v>I-76, I-80</x:v>
      </x:c>
      <x:c r="E12" s="168" t="n">
        <x:f>IF(A12="","",SUMIF($A$7:$A$56,A12,$C$7:$C$56))</x:f>
        <x:v>2068</x:v>
      </x:c>
      <x:c r="F12" s="168" t="n">
        <x:f>IF(A12="","",E12-SUMIF('Weekly Pay'!$C$11:$C$30,A12,'Weekly Pay'!$K$11:$K$30))</x:f>
        <x:v>45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</x:row>
    <x:row r="13">
      <x:c r="A13" s="147" t="str">
        <x:v>39586</x:v>
      </x:c>
      <x:c r="B13" s="7" t="str">
        <x:v>IA</x:v>
      </x:c>
      <x:c r="C13" s="166" t="n">
        <x:v>306</x:v>
      </x:c>
      <x:c r="D13" s="148" t="str">
        <x:v>I-80</x:v>
      </x:c>
      <x:c r="E13" s="168" t="n">
        <x:f>IF(A13="","",SUMIF($A$7:$A$56,A13,$C$7:$C$56))</x:f>
        <x:v>2068</x:v>
      </x:c>
      <x:c r="F13" s="168" t="n">
        <x:f>IF(A13="","",E13-SUMIF('Weekly Pay'!$C$11:$C$30,A13,'Weekly Pay'!$K$11:$K$30))</x:f>
        <x:v>45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</x:row>
    <x:row r="14">
      <x:c r="A14" s="147" t="str">
        <x:v>39586</x:v>
      </x:c>
      <x:c r="B14" s="7" t="str">
        <x:v>IL</x:v>
      </x:c>
      <x:c r="C14" s="166" t="n">
        <x:v>150</x:v>
      </x:c>
      <x:c r="D14" s="148" t="str">
        <x:v>I-80, I-39, US-20, IL-47</x:v>
      </x:c>
      <x:c r="E14" s="168" t="n">
        <x:f>IF(A14="","",SUMIF($A$7:$A$56,A14,$C$7:$C$56))</x:f>
        <x:v>2068</x:v>
      </x:c>
      <x:c r="F14" s="168" t="n">
        <x:f>IF(A14="","",E14-SUMIF('Weekly Pay'!$C$11:$C$30,A14,'Weekly Pay'!$K$11:$K$30))</x:f>
        <x:v>45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</x:row>
    <x:row r="15">
      <x:c r="A15" s="147" t="str"/>
      <x:c r="B15" s="7" t="str"/>
      <x:c r="C15" s="166"/>
      <x:c r="D15" s="148" t="str"/>
      <x:c r="E15" s="168" t="str">
        <x:f>IF(A15="","",SUMIF($A$7:$A$56,A15,$C$7:$C$56))</x:f>
      </x:c>
      <x:c r="F15" s="168" t="str">
        <x:f>IF(A15="","",E15-SUMIF('Weekly Pay'!$C$11:$C$30,A15,'Weekly Pay'!$K$11:$K$30))</x:f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</x:row>
    <x:row r="16">
      <x:c r="A16" s="147" t="str"/>
      <x:c r="B16" s="7" t="str"/>
      <x:c r="C16" s="166"/>
      <x:c r="D16" s="148" t="str"/>
      <x:c r="E16" s="168" t="str">
        <x:f>IF(A16="","",SUMIF($A$7:$A$56,A16,$C$7:$C$56))</x:f>
      </x:c>
      <x:c r="F16" s="168" t="str">
        <x:f>IF(A16="","",E16-SUMIF('Weekly Pay'!$C$11:$C$30,A16,'Weekly Pay'!$K$11:$K$30))</x:f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</x:row>
    <x:row r="17">
      <x:c r="A17" s="147" t="str"/>
      <x:c r="B17" s="7" t="str"/>
      <x:c r="C17" s="166"/>
      <x:c r="D17" s="148" t="str"/>
      <x:c r="E17" s="168" t="str">
        <x:f>IF(A17="","",SUMIF($A$7:$A$56,A17,$C$7:$C$56))</x:f>
      </x:c>
      <x:c r="F17" s="168" t="str">
        <x:f>IF(A17="","",E17-SUMIF('Weekly Pay'!$C$11:$C$30,A17,'Weekly Pay'!$K$11:$K$30))</x:f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</x:row>
    <x:row r="18">
      <x:c r="A18" s="147" t="str"/>
      <x:c r="B18" s="7" t="str"/>
      <x:c r="C18" s="166"/>
      <x:c r="D18" s="148" t="str"/>
      <x:c r="E18" s="168" t="str">
        <x:f>IF(A18="","",SUMIF($A$7:$A$56,A18,$C$7:$C$56))</x:f>
      </x:c>
      <x:c r="F18" s="168" t="str">
        <x:f>IF(A18="","",E18-SUMIF('Weekly Pay'!$C$11:$C$30,A18,'Weekly Pay'!$K$11:$K$30))</x:f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</x:row>
    <x:row r="19">
      <x:c r="A19" s="147" t="str"/>
      <x:c r="B19" s="7" t="str"/>
      <x:c r="C19" s="166"/>
      <x:c r="D19" s="148" t="str"/>
      <x:c r="E19" s="168" t="str">
        <x:f>IF(A19="","",SUMIF($A$7:$A$56,A19,$C$7:$C$56))</x:f>
      </x:c>
      <x:c r="F19" s="168" t="str">
        <x:f>IF(A19="","",E19-SUMIF('Weekly Pay'!$C$11:$C$30,A19,'Weekly Pay'!$K$11:$K$30))</x:f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</x:row>
    <x:row r="20">
      <x:c r="A20" s="147" t="str"/>
      <x:c r="B20" s="7" t="str"/>
      <x:c r="C20" s="166"/>
      <x:c r="D20" s="148" t="str"/>
      <x:c r="E20" s="168" t="str">
        <x:f>IF(A20="","",SUMIF($A$7:$A$56,A20,$C$7:$C$56))</x:f>
      </x:c>
      <x:c r="F20" s="168" t="str">
        <x:f>IF(A20="","",E20-SUMIF('Weekly Pay'!$C$11:$C$30,A20,'Weekly Pay'!$K$11:$K$30))</x:f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</x:row>
    <x:row r="21">
      <x:c r="A21" s="147" t="str"/>
      <x:c r="B21" s="7" t="str"/>
      <x:c r="C21" s="166"/>
      <x:c r="D21" s="148" t="str"/>
      <x:c r="E21" s="168" t="str">
        <x:f>IF(A21="","",SUMIF($A$7:$A$56,A21,$C$7:$C$56))</x:f>
      </x:c>
      <x:c r="F21" s="168" t="str">
        <x:f>IF(A21="","",E21-SUMIF('Weekly Pay'!$C$11:$C$30,A21,'Weekly Pay'!$K$11:$K$30))</x:f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</x:row>
    <x:row r="22">
      <x:c r="A22" s="147" t="str"/>
      <x:c r="B22" s="7" t="str"/>
      <x:c r="C22" s="166"/>
      <x:c r="D22" s="148" t="str"/>
      <x:c r="E22" s="168" t="str">
        <x:f>IF(A22="","",SUMIF($A$7:$A$56,A22,$C$7:$C$56))</x:f>
      </x:c>
      <x:c r="F22" s="168" t="str">
        <x:f>IF(A22="","",E22-SUMIF('Weekly Pay'!$C$11:$C$30,A22,'Weekly Pay'!$K$11:$K$30))</x:f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</x:row>
    <x:row r="23">
      <x:c r="A23" s="147" t="str"/>
      <x:c r="B23" s="7" t="str"/>
      <x:c r="C23" s="166"/>
      <x:c r="D23" s="148" t="str"/>
      <x:c r="E23" s="168" t="str">
        <x:f>IF(A23="","",SUMIF($A$7:$A$56,A23,$C$7:$C$56))</x:f>
      </x:c>
      <x:c r="F23" s="168" t="str">
        <x:f>IF(A23="","",E23-SUMIF('Weekly Pay'!$C$11:$C$30,A23,'Weekly Pay'!$K$11:$K$30))</x:f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</x:row>
    <x:row r="24">
      <x:c r="A24" s="147" t="str"/>
      <x:c r="B24" s="7" t="str"/>
      <x:c r="C24" s="166"/>
      <x:c r="D24" s="148" t="str"/>
      <x:c r="E24" s="168" t="str">
        <x:f>IF(A24="","",SUMIF($A$7:$A$56,A24,$C$7:$C$56))</x:f>
      </x:c>
      <x:c r="F24" s="168" t="str">
        <x:f>IF(A24="","",E24-SUMIF('Weekly Pay'!$C$11:$C$30,A24,'Weekly Pay'!$K$11:$K$30))</x:f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</x:row>
    <x:row r="25">
      <x:c r="A25" s="147" t="str"/>
      <x:c r="B25" s="7" t="str"/>
      <x:c r="C25" s="166"/>
      <x:c r="D25" s="148" t="str"/>
      <x:c r="E25" s="168" t="str">
        <x:f>IF(A25="","",SUMIF($A$7:$A$56,A25,$C$7:$C$56))</x:f>
      </x:c>
      <x:c r="F25" s="168" t="str">
        <x:f>IF(A25="","",E25-SUMIF('Weekly Pay'!$C$11:$C$30,A25,'Weekly Pay'!$K$11:$K$30))</x:f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</x:row>
    <x:row r="26">
      <x:c r="A26" s="147" t="str"/>
      <x:c r="B26" s="7" t="str"/>
      <x:c r="C26" s="166"/>
      <x:c r="D26" s="148" t="str"/>
      <x:c r="E26" s="168" t="str">
        <x:f>IF(A26="","",SUMIF($A$7:$A$56,A26,$C$7:$C$56))</x:f>
      </x:c>
      <x:c r="F26" s="168" t="str">
        <x:f>IF(A26="","",E26-SUMIF('Weekly Pay'!$C$11:$C$30,A26,'Weekly Pay'!$K$11:$K$30))</x:f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</x:row>
    <x:row r="27">
      <x:c r="A27" s="147" t="str"/>
      <x:c r="B27" s="7" t="str"/>
      <x:c r="C27" s="166"/>
      <x:c r="D27" s="148" t="str"/>
      <x:c r="E27" s="168" t="str">
        <x:f>IF(A27="","",SUMIF($A$7:$A$56,A27,$C$7:$C$56))</x:f>
      </x:c>
      <x:c r="F27" s="168" t="str">
        <x:f>IF(A27="","",E27-SUMIF('Weekly Pay'!$C$11:$C$30,A27,'Weekly Pay'!$K$11:$K$30))</x:f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</x:row>
    <x:row r="28">
      <x:c r="A28" s="147" t="str"/>
      <x:c r="B28" s="7" t="str"/>
      <x:c r="C28" s="166"/>
      <x:c r="D28" s="148" t="str"/>
      <x:c r="E28" s="168" t="str">
        <x:f>IF(A28="","",SUMIF($A$7:$A$56,A28,$C$7:$C$56))</x:f>
      </x:c>
      <x:c r="F28" s="168" t="str">
        <x:f>IF(A28="","",E28-SUMIF('Weekly Pay'!$C$11:$C$30,A28,'Weekly Pay'!$K$11:$K$30))</x:f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</x:row>
    <x:row r="29">
      <x:c r="A29" s="147" t="str"/>
      <x:c r="B29" s="7" t="str"/>
      <x:c r="C29" s="166"/>
      <x:c r="D29" s="148" t="str"/>
      <x:c r="E29" s="168" t="str">
        <x:f>IF(A29="","",SUMIF($A$7:$A$56,A29,$C$7:$C$56))</x:f>
      </x:c>
      <x:c r="F29" s="168" t="str">
        <x:f>IF(A29="","",E29-SUMIF('Weekly Pay'!$C$11:$C$30,A29,'Weekly Pay'!$K$11:$K$30))</x:f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</x:row>
    <x:row r="30">
      <x:c r="A30" s="147" t="str"/>
      <x:c r="B30" s="7" t="str"/>
      <x:c r="C30" s="166"/>
      <x:c r="D30" s="148" t="str"/>
      <x:c r="E30" s="168" t="str">
        <x:f>IF(A30="","",SUMIF($A$7:$A$56,A30,$C$7:$C$56))</x:f>
      </x:c>
      <x:c r="F30" s="168" t="str">
        <x:f>IF(A30="","",E30-SUMIF('Weekly Pay'!$C$11:$C$30,A30,'Weekly Pay'!$K$11:$K$30))</x:f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</x:row>
    <x:row r="31">
      <x:c r="A31" s="147" t="str"/>
      <x:c r="B31" s="7" t="str"/>
      <x:c r="C31" s="166"/>
      <x:c r="D31" s="148" t="str"/>
      <x:c r="E31" s="168" t="str">
        <x:f>IF(A31="","",SUMIF($A$7:$A$56,A31,$C$7:$C$56))</x:f>
      </x:c>
      <x:c r="F31" s="168" t="str">
        <x:f>IF(A31="","",E31-SUMIF('Weekly Pay'!$C$11:$C$30,A31,'Weekly Pay'!$K$11:$K$30))</x:f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</x:row>
    <x:row r="32">
      <x:c r="A32" s="147" t="str"/>
      <x:c r="B32" s="7" t="str"/>
      <x:c r="C32" s="166"/>
      <x:c r="D32" s="148" t="str"/>
      <x:c r="E32" s="168" t="str">
        <x:f>IF(A32="","",SUMIF($A$7:$A$56,A32,$C$7:$C$56))</x:f>
      </x:c>
      <x:c r="F32" s="168" t="str">
        <x:f>IF(A32="","",E32-SUMIF('Weekly Pay'!$C$11:$C$30,A32,'Weekly Pay'!$K$11:$K$30))</x:f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</x:row>
    <x:row r="33">
      <x:c r="A33" s="147" t="str"/>
      <x:c r="B33" s="7" t="str"/>
      <x:c r="C33" s="166"/>
      <x:c r="D33" s="148" t="str"/>
      <x:c r="E33" s="168" t="str">
        <x:f>IF(A33="","",SUMIF($A$7:$A$56,A33,$C$7:$C$56))</x:f>
      </x:c>
      <x:c r="F33" s="168" t="str">
        <x:f>IF(A33="","",E33-SUMIF('Weekly Pay'!$C$11:$C$30,A33,'Weekly Pay'!$K$11:$K$30))</x:f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</x:row>
    <x:row r="34">
      <x:c r="A34" s="147" t="str"/>
      <x:c r="B34" s="7" t="str"/>
      <x:c r="C34" s="166"/>
      <x:c r="D34" s="148" t="str"/>
      <x:c r="E34" s="168" t="str">
        <x:f>IF(A34="","",SUMIF($A$7:$A$56,A34,$C$7:$C$56))</x:f>
      </x:c>
      <x:c r="F34" s="168" t="str">
        <x:f>IF(A34="","",E34-SUMIF('Weekly Pay'!$C$11:$C$30,A34,'Weekly Pay'!$K$11:$K$30))</x:f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</x:row>
    <x:row r="35">
      <x:c r="A35" s="147" t="str"/>
      <x:c r="B35" s="7" t="str"/>
      <x:c r="C35" s="166"/>
      <x:c r="D35" s="148" t="str"/>
      <x:c r="E35" s="168" t="str">
        <x:f>IF(A35="","",SUMIF($A$7:$A$56,A35,$C$7:$C$56))</x:f>
      </x:c>
      <x:c r="F35" s="168" t="str">
        <x:f>IF(A35="","",E35-SUMIF('Weekly Pay'!$C$11:$C$30,A35,'Weekly Pay'!$K$11:$K$30))</x:f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</x:row>
    <x:row r="36">
      <x:c r="A36" s="147" t="str"/>
      <x:c r="B36" s="7" t="str"/>
      <x:c r="C36" s="166"/>
      <x:c r="D36" s="148" t="str"/>
      <x:c r="E36" s="168" t="str">
        <x:f>IF(A36="","",SUMIF($A$7:$A$56,A36,$C$7:$C$56))</x:f>
      </x:c>
      <x:c r="F36" s="168" t="str">
        <x:f>IF(A36="","",E36-SUMIF('Weekly Pay'!$C$11:$C$30,A36,'Weekly Pay'!$K$11:$K$30))</x:f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</x:row>
    <x:row r="37">
      <x:c r="A37" s="147" t="str"/>
      <x:c r="B37" s="7" t="str"/>
      <x:c r="C37" s="166"/>
      <x:c r="D37" s="148" t="str"/>
      <x:c r="E37" s="168" t="str">
        <x:f>IF(A37="","",SUMIF($A$7:$A$56,A37,$C$7:$C$56))</x:f>
      </x:c>
      <x:c r="F37" s="168" t="str">
        <x:f>IF(A37="","",E37-SUMIF('Weekly Pay'!$C$11:$C$30,A37,'Weekly Pay'!$K$11:$K$30))</x:f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</x:row>
    <x:row r="38">
      <x:c r="A38" s="147" t="str"/>
      <x:c r="B38" s="7" t="str"/>
      <x:c r="C38" s="166"/>
      <x:c r="D38" s="148" t="str"/>
      <x:c r="E38" s="168" t="str">
        <x:f>IF(A38="","",SUMIF($A$7:$A$56,A38,$C$7:$C$56))</x:f>
      </x:c>
      <x:c r="F38" s="168" t="str">
        <x:f>IF(A38="","",E38-SUMIF('Weekly Pay'!$C$11:$C$30,A38,'Weekly Pay'!$K$11:$K$30))</x:f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</x:row>
    <x:row r="39">
      <x:c r="A39" s="147" t="str"/>
      <x:c r="B39" s="7" t="str"/>
      <x:c r="C39" s="166"/>
      <x:c r="D39" s="148" t="str"/>
      <x:c r="E39" s="168" t="str">
        <x:f>IF(A39="","",SUMIF($A$7:$A$56,A39,$C$7:$C$56))</x:f>
      </x:c>
      <x:c r="F39" s="168" t="str">
        <x:f>IF(A39="","",E39-SUMIF('Weekly Pay'!$C$11:$C$30,A39,'Weekly Pay'!$K$11:$K$30))</x:f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</x:row>
    <x:row r="40">
      <x:c r="A40" s="147" t="str"/>
      <x:c r="B40" s="7" t="str"/>
      <x:c r="C40" s="166"/>
      <x:c r="D40" s="148" t="str"/>
      <x:c r="E40" s="168" t="str">
        <x:f>IF(A40="","",SUMIF($A$7:$A$56,A40,$C$7:$C$56))</x:f>
      </x:c>
      <x:c r="F40" s="168" t="str">
        <x:f>IF(A40="","",E40-SUMIF('Weekly Pay'!$C$11:$C$30,A40,'Weekly Pay'!$K$11:$K$30))</x:f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</x:row>
    <x:row r="41">
      <x:c r="A41" s="147" t="str"/>
      <x:c r="B41" s="7" t="str"/>
      <x:c r="C41" s="166"/>
      <x:c r="D41" s="148" t="str"/>
      <x:c r="E41" s="168" t="str">
        <x:f>IF(A41="","",SUMIF($A$7:$A$56,A41,$C$7:$C$56))</x:f>
      </x:c>
      <x:c r="F41" s="168" t="str">
        <x:f>IF(A41="","",E41-SUMIF('Weekly Pay'!$C$11:$C$30,A41,'Weekly Pay'!$K$11:$K$30))</x:f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</x:row>
    <x:row r="42">
      <x:c r="A42" s="147" t="str"/>
      <x:c r="B42" s="7" t="str"/>
      <x:c r="C42" s="166"/>
      <x:c r="D42" s="148" t="str"/>
      <x:c r="E42" s="168" t="str">
        <x:f>IF(A42="","",SUMIF($A$7:$A$56,A42,$C$7:$C$56))</x:f>
      </x:c>
      <x:c r="F42" s="168" t="str">
        <x:f>IF(A42="","",E42-SUMIF('Weekly Pay'!$C$11:$C$30,A42,'Weekly Pay'!$K$11:$K$30))</x:f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</x:row>
    <x:row r="43">
      <x:c r="A43" s="147" t="str"/>
      <x:c r="B43" s="7" t="str"/>
      <x:c r="C43" s="166"/>
      <x:c r="D43" s="148" t="str"/>
      <x:c r="E43" s="168" t="str">
        <x:f>IF(A43="","",SUMIF($A$7:$A$56,A43,$C$7:$C$56))</x:f>
      </x:c>
      <x:c r="F43" s="168" t="str">
        <x:f>IF(A43="","",E43-SUMIF('Weekly Pay'!$C$11:$C$30,A43,'Weekly Pay'!$K$11:$K$30))</x:f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</x:row>
    <x:row r="44">
      <x:c r="A44" s="147" t="str"/>
      <x:c r="B44" s="7" t="str"/>
      <x:c r="C44" s="166"/>
      <x:c r="D44" s="148" t="str"/>
      <x:c r="E44" s="168" t="str">
        <x:f>IF(A44="","",SUMIF($A$7:$A$56,A44,$C$7:$C$56))</x:f>
      </x:c>
      <x:c r="F44" s="168" t="str">
        <x:f>IF(A44="","",E44-SUMIF('Weekly Pay'!$C$11:$C$30,A44,'Weekly Pay'!$K$11:$K$30))</x:f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</x:row>
    <x:row r="45">
      <x:c r="A45" s="147" t="str"/>
      <x:c r="B45" s="7" t="str"/>
      <x:c r="C45" s="166"/>
      <x:c r="D45" s="148" t="str"/>
      <x:c r="E45" s="168" t="str">
        <x:f>IF(A45="","",SUMIF($A$7:$A$56,A45,$C$7:$C$56))</x:f>
      </x:c>
      <x:c r="F45" s="168" t="str">
        <x:f>IF(A45="","",E45-SUMIF('Weekly Pay'!$C$11:$C$30,A45,'Weekly Pay'!$K$11:$K$30))</x:f>
      </x:c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</x:row>
    <x:row r="46">
      <x:c r="A46" s="147" t="str"/>
      <x:c r="B46" s="7" t="str"/>
      <x:c r="C46" s="166"/>
      <x:c r="D46" s="148" t="str"/>
      <x:c r="E46" s="168" t="str">
        <x:f>IF(A46="","",SUMIF($A$7:$A$56,A46,$C$7:$C$56))</x:f>
      </x:c>
      <x:c r="F46" s="168" t="str">
        <x:f>IF(A46="","",E46-SUMIF('Weekly Pay'!$C$11:$C$30,A46,'Weekly Pay'!$K$11:$K$30))</x:f>
      </x:c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</x:row>
    <x:row r="47">
      <x:c r="A47" s="147" t="str"/>
      <x:c r="B47" s="7" t="str"/>
      <x:c r="C47" s="166"/>
      <x:c r="D47" s="148" t="str"/>
      <x:c r="E47" s="168" t="str">
        <x:f>IF(A47="","",SUMIF($A$7:$A$56,A47,$C$7:$C$56))</x:f>
      </x:c>
      <x:c r="F47" s="168" t="str">
        <x:f>IF(A47="","",E47-SUMIF('Weekly Pay'!$C$11:$C$30,A47,'Weekly Pay'!$K$11:$K$30))</x:f>
      </x:c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</x:row>
    <x:row r="48">
      <x:c r="A48" s="147" t="str"/>
      <x:c r="B48" s="7" t="str"/>
      <x:c r="C48" s="166"/>
      <x:c r="D48" s="148" t="str"/>
      <x:c r="E48" s="168" t="str">
        <x:f>IF(A48="","",SUMIF($A$7:$A$56,A48,$C$7:$C$56))</x:f>
      </x:c>
      <x:c r="F48" s="168" t="str">
        <x:f>IF(A48="","",E48-SUMIF('Weekly Pay'!$C$11:$C$30,A48,'Weekly Pay'!$K$11:$K$30))</x:f>
      </x:c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</x:row>
    <x:row r="49">
      <x:c r="A49" s="147" t="str"/>
      <x:c r="B49" s="7" t="str"/>
      <x:c r="C49" s="166"/>
      <x:c r="D49" s="148" t="str"/>
      <x:c r="E49" s="168" t="str">
        <x:f>IF(A49="","",SUMIF($A$7:$A$56,A49,$C$7:$C$56))</x:f>
      </x:c>
      <x:c r="F49" s="168" t="str">
        <x:f>IF(A49="","",E49-SUMIF('Weekly Pay'!$C$11:$C$30,A49,'Weekly Pay'!$K$11:$K$30))</x:f>
      </x:c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</x:row>
    <x:row r="50">
      <x:c r="A50" s="147" t="str"/>
      <x:c r="B50" s="7" t="str"/>
      <x:c r="C50" s="166"/>
      <x:c r="D50" s="148" t="str"/>
      <x:c r="E50" s="168" t="str">
        <x:f>IF(A50="","",SUMIF($A$7:$A$56,A50,$C$7:$C$56))</x:f>
      </x:c>
      <x:c r="F50" s="168" t="str">
        <x:f>IF(A50="","",E50-SUMIF('Weekly Pay'!$C$11:$C$30,A50,'Weekly Pay'!$K$11:$K$30))</x:f>
      </x:c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</x:row>
    <x:row r="51">
      <x:c r="A51" s="147" t="str"/>
      <x:c r="B51" s="7" t="str"/>
      <x:c r="C51" s="166"/>
      <x:c r="D51" s="148" t="str"/>
      <x:c r="E51" s="168" t="str">
        <x:f>IF(A51="","",SUMIF($A$7:$A$56,A51,$C$7:$C$56))</x:f>
      </x:c>
      <x:c r="F51" s="168" t="str">
        <x:f>IF(A51="","",E51-SUMIF('Weekly Pay'!$C$11:$C$30,A51,'Weekly Pay'!$K$11:$K$30))</x:f>
      </x:c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</x:row>
    <x:row r="52">
      <x:c r="A52" s="147" t="str"/>
      <x:c r="B52" s="7" t="str"/>
      <x:c r="C52" s="166"/>
      <x:c r="D52" s="148" t="str"/>
      <x:c r="E52" s="168" t="str">
        <x:f>IF(A52="","",SUMIF($A$7:$A$56,A52,$C$7:$C$56))</x:f>
      </x:c>
      <x:c r="F52" s="168" t="str">
        <x:f>IF(A52="","",E52-SUMIF('Weekly Pay'!$C$11:$C$30,A52,'Weekly Pay'!$K$11:$K$30))</x:f>
      </x:c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</x:row>
    <x:row r="53">
      <x:c r="A53" s="147" t="str"/>
      <x:c r="B53" s="7" t="str"/>
      <x:c r="C53" s="166"/>
      <x:c r="D53" s="148" t="str"/>
      <x:c r="E53" s="168" t="str">
        <x:f>IF(A53="","",SUMIF($A$7:$A$56,A53,$C$7:$C$56))</x:f>
      </x:c>
      <x:c r="F53" s="168" t="str">
        <x:f>IF(A53="","",E53-SUMIF('Weekly Pay'!$C$11:$C$30,A53,'Weekly Pay'!$K$11:$K$30))</x:f>
      </x:c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</x:row>
    <x:row r="54">
      <x:c r="A54" s="147" t="str"/>
      <x:c r="B54" s="7" t="str"/>
      <x:c r="C54" s="166"/>
      <x:c r="D54" s="148" t="str"/>
      <x:c r="E54" s="168" t="str">
        <x:f>IF(A54="","",SUMIF($A$7:$A$56,A54,$C$7:$C$56))</x:f>
      </x:c>
      <x:c r="F54" s="168" t="str">
        <x:f>IF(A54="","",E54-SUMIF('Weekly Pay'!$C$11:$C$30,A54,'Weekly Pay'!$K$11:$K$30))</x:f>
      </x:c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</x:row>
    <x:row r="55">
      <x:c r="A55" s="147" t="str"/>
      <x:c r="B55" s="7" t="str"/>
      <x:c r="C55" s="166"/>
      <x:c r="D55" s="148" t="str"/>
      <x:c r="E55" s="168" t="str">
        <x:f>IF(A55="","",SUMIF($A$7:$A$56,A55,$C$7:$C$56))</x:f>
      </x:c>
      <x:c r="F55" s="168" t="str">
        <x:f>IF(A55="","",E55-SUMIF('Weekly Pay'!$C$11:$C$30,A55,'Weekly Pay'!$K$11:$K$30))</x:f>
      </x:c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</x:row>
    <x:row r="56">
      <x:c r="A56" s="149" t="str"/>
      <x:c r="B56" s="150" t="str"/>
      <x:c r="C56" s="167"/>
      <x:c r="D56" s="151" t="str"/>
      <x:c r="E56" s="168" t="str">
        <x:f>IF(A56="","",SUMIF($A$7:$A$56,A56,$C$7:$C$56))</x:f>
      </x:c>
      <x:c r="F56" s="168" t="str">
        <x:f>IF(A56="","",E56-SUMIF('Weekly Pay'!$C$11:$C$30,A56,'Weekly Pay'!$K$11:$K$30))</x:f>
      </x:c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</x:row>
    <x:row r="58">
      <x:c r="A58" s="13" t="str">
        <x:v>All state miles</x:v>
      </x:c>
      <x:c r="B58" s="13"/>
      <x:c r="C58" s="170" t="n">
        <x:f>SUM(C7:C56)</x:f>
        <x:v>2068</x:v>
      </x:c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</x:row>
  </x:sheetData>
  <x:mergeCells>
    <x:mergeCell ref="A2:F2"/>
    <x:mergeCell ref="A4:F4"/>
    <x:mergeCell ref="A58:B58"/>
  </x:mergeCells>
  <x:conditionalFormatting sqref="F7:F56">
    <x:cfRule type="cellIs" dxfId="1" priority="1" operator="notEqual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20" hidden="0" customWidth="1"/>
    <x:col min="4" max="4" width="36" hidden="0" customWidth="1"/>
    <x:col min="5" max="5" width="36" hidden="0" customWidth="1"/>
    <x:col min="6" max="6" width="24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Trip Routes and Stops</x:v>
      </x:c>
      <x:c r="B2" s="2"/>
      <x:c r="C2" s="2"/>
      <x:c r="D2" s="2"/>
      <x:c r="E2" s="2"/>
      <x:c r="F2" s="2"/>
    </x:row>
    <x:row r="3">
      <x:c r="A3" s="4"/>
      <x:c r="B3" s="4"/>
      <x:c r="C3" s="4"/>
      <x:c r="D3" s="4"/>
      <x:c r="E3" s="4"/>
      <x:c r="F3" s="4"/>
    </x:row>
    <x:row r="4">
      <x:c r="A4" s="143" t="str">
        <x:v>Enter routes in stop order. Up to 10 From/To pairs export to the settlement PDF.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>
      <x:c r="A6" s="191" t="str">
        <x:v>Trip #</x:v>
      </x:c>
      <x:c r="B6" s="191" t="str">
        <x:v>Stop order</x:v>
      </x:c>
      <x:c r="C6" s="191" t="str">
        <x:v>Type</x:v>
      </x:c>
      <x:c r="D6" s="191" t="str">
        <x:v>From</x:v>
      </x:c>
      <x:c r="E6" s="191" t="str">
        <x:v>To</x:v>
      </x:c>
      <x:c r="F6" s="191" t="str">
        <x:v>Notes</x:v>
      </x:c>
    </x:row>
    <x:row r="7" ht="23" customHeight="1">
      <x:c r="A7" s="192" t="str">
        <x:v>39586</x:v>
      </x:c>
      <x:c r="B7" s="201" t="n">
        <x:v>1</x:v>
      </x:c>
      <x:c r="C7" s="193" t="str">
        <x:v>Pickup to delivery</x:v>
      </x:c>
      <x:c r="D7" s="204" t="str">
        <x:v>3950 E Airport Dr Ontario, CA 91761</x:v>
      </x:c>
      <x:c r="E7" s="204" t="str">
        <x:v>12300 Jim Dhamer Dr Huntley, IL 60142</x:v>
      </x:c>
      <x:c r="F7" s="205" t="str"/>
    </x:row>
    <x:row r="8" ht="23" customHeight="1">
      <x:c r="A8" s="195" t="str"/>
      <x:c r="B8" s="202"/>
      <x:c r="C8" s="196" t="str"/>
      <x:c r="D8" s="206" t="str"/>
      <x:c r="E8" s="206" t="str"/>
      <x:c r="F8" s="207" t="str"/>
    </x:row>
    <x:row r="9" ht="23" customHeight="1">
      <x:c r="A9" s="195" t="str"/>
      <x:c r="B9" s="202"/>
      <x:c r="C9" s="196" t="str"/>
      <x:c r="D9" s="206" t="str"/>
      <x:c r="E9" s="206" t="str"/>
      <x:c r="F9" s="207" t="str"/>
    </x:row>
    <x:row r="10" ht="23" customHeight="1">
      <x:c r="A10" s="195" t="str"/>
      <x:c r="B10" s="202"/>
      <x:c r="C10" s="196" t="str"/>
      <x:c r="D10" s="206" t="str"/>
      <x:c r="E10" s="206" t="str"/>
      <x:c r="F10" s="207" t="str"/>
    </x:row>
    <x:row r="11" ht="23" customHeight="1">
      <x:c r="A11" s="195" t="str"/>
      <x:c r="B11" s="202"/>
      <x:c r="C11" s="196" t="str"/>
      <x:c r="D11" s="206" t="str"/>
      <x:c r="E11" s="206" t="str"/>
      <x:c r="F11" s="207" t="str"/>
    </x:row>
    <x:row r="12" ht="23" customHeight="1">
      <x:c r="A12" s="195" t="str"/>
      <x:c r="B12" s="202"/>
      <x:c r="C12" s="196" t="str"/>
      <x:c r="D12" s="206" t="str"/>
      <x:c r="E12" s="206" t="str"/>
      <x:c r="F12" s="207" t="str"/>
    </x:row>
    <x:row r="13" ht="23" customHeight="1">
      <x:c r="A13" s="195" t="str"/>
      <x:c r="B13" s="202"/>
      <x:c r="C13" s="196" t="str"/>
      <x:c r="D13" s="206" t="str"/>
      <x:c r="E13" s="206" t="str"/>
      <x:c r="F13" s="207" t="str"/>
    </x:row>
    <x:row r="14" ht="23" customHeight="1">
      <x:c r="A14" s="195" t="str"/>
      <x:c r="B14" s="202"/>
      <x:c r="C14" s="196" t="str"/>
      <x:c r="D14" s="206" t="str"/>
      <x:c r="E14" s="206" t="str"/>
      <x:c r="F14" s="207" t="str"/>
    </x:row>
    <x:row r="15" ht="23" customHeight="1">
      <x:c r="A15" s="195" t="str"/>
      <x:c r="B15" s="202"/>
      <x:c r="C15" s="196" t="str"/>
      <x:c r="D15" s="206" t="str"/>
      <x:c r="E15" s="206" t="str"/>
      <x:c r="F15" s="207" t="str"/>
    </x:row>
    <x:row r="16" ht="23" customHeight="1">
      <x:c r="A16" s="195" t="str"/>
      <x:c r="B16" s="202"/>
      <x:c r="C16" s="196" t="str"/>
      <x:c r="D16" s="206" t="str"/>
      <x:c r="E16" s="206" t="str"/>
      <x:c r="F16" s="207" t="str"/>
    </x:row>
    <x:row r="17" ht="23" customHeight="1">
      <x:c r="A17" s="195" t="str"/>
      <x:c r="B17" s="202"/>
      <x:c r="C17" s="196" t="str"/>
      <x:c r="D17" s="206" t="str"/>
      <x:c r="E17" s="206" t="str"/>
      <x:c r="F17" s="207" t="str"/>
    </x:row>
    <x:row r="18" ht="23" customHeight="1">
      <x:c r="A18" s="195" t="str"/>
      <x:c r="B18" s="202"/>
      <x:c r="C18" s="196" t="str"/>
      <x:c r="D18" s="206" t="str"/>
      <x:c r="E18" s="206" t="str"/>
      <x:c r="F18" s="207" t="str"/>
    </x:row>
    <x:row r="19" ht="23" customHeight="1">
      <x:c r="A19" s="195" t="str"/>
      <x:c r="B19" s="202"/>
      <x:c r="C19" s="196" t="str"/>
      <x:c r="D19" s="206" t="str"/>
      <x:c r="E19" s="206" t="str"/>
      <x:c r="F19" s="207" t="str"/>
    </x:row>
    <x:row r="20" ht="23" customHeight="1">
      <x:c r="A20" s="195" t="str"/>
      <x:c r="B20" s="202"/>
      <x:c r="C20" s="196" t="str"/>
      <x:c r="D20" s="206" t="str"/>
      <x:c r="E20" s="206" t="str"/>
      <x:c r="F20" s="207" t="str"/>
    </x:row>
    <x:row r="21" ht="23" customHeight="1">
      <x:c r="A21" s="195" t="str"/>
      <x:c r="B21" s="202"/>
      <x:c r="C21" s="196" t="str"/>
      <x:c r="D21" s="206" t="str"/>
      <x:c r="E21" s="206" t="str"/>
      <x:c r="F21" s="207" t="str"/>
    </x:row>
    <x:row r="22" ht="23" customHeight="1">
      <x:c r="A22" s="195" t="str"/>
      <x:c r="B22" s="202"/>
      <x:c r="C22" s="196" t="str"/>
      <x:c r="D22" s="206" t="str"/>
      <x:c r="E22" s="206" t="str"/>
      <x:c r="F22" s="207" t="str"/>
    </x:row>
    <x:row r="23" ht="23" customHeight="1">
      <x:c r="A23" s="195" t="str"/>
      <x:c r="B23" s="202"/>
      <x:c r="C23" s="196" t="str"/>
      <x:c r="D23" s="206" t="str"/>
      <x:c r="E23" s="206" t="str"/>
      <x:c r="F23" s="207" t="str"/>
    </x:row>
    <x:row r="24" ht="23" customHeight="1">
      <x:c r="A24" s="195" t="str"/>
      <x:c r="B24" s="202"/>
      <x:c r="C24" s="196" t="str"/>
      <x:c r="D24" s="206" t="str"/>
      <x:c r="E24" s="206" t="str"/>
      <x:c r="F24" s="207" t="str"/>
    </x:row>
    <x:row r="25" ht="23" customHeight="1">
      <x:c r="A25" s="195" t="str"/>
      <x:c r="B25" s="202"/>
      <x:c r="C25" s="196" t="str"/>
      <x:c r="D25" s="206" t="str"/>
      <x:c r="E25" s="206" t="str"/>
      <x:c r="F25" s="207" t="str"/>
    </x:row>
    <x:row r="26" ht="23" customHeight="1">
      <x:c r="A26" s="198" t="str"/>
      <x:c r="B26" s="203"/>
      <x:c r="C26" s="199" t="str"/>
      <x:c r="D26" s="208" t="str"/>
      <x:c r="E26" s="208" t="str"/>
      <x:c r="F26" s="209" t="str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</x:sheetData>
  <x:mergeCells>
    <x:mergeCell ref="A2:F2"/>
    <x:mergeCell ref="A4:F4"/>
  </x:mergeCells>
  <x:dataValidations count="1">
    <x:dataValidation type="list" sqref="C7:C26">
      <x:formula1>"Start to pickup,Pickup to delivery,Additional stop,Return"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9" hidden="0" customWidth="1"/>
    <x:col min="4" max="4" width="18" hidden="0" customWidth="1"/>
    <x:col min="5" max="5" width="28" hidden="0" customWidth="1"/>
    <x:col min="6" max="6" width="15" hidden="0" customWidth="1"/>
    <x:col min="7" max="7" width="15" hidden="0" customWidth="1"/>
    <x:col min="8" max="8" width="13" hidden="0" customWidth="1"/>
    <x:col min="9" max="9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Fuel and DEF Purchases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</x:row>
    <x:row r="4">
      <x:c r="A4" s="143" t="str">
        <x:v>Enter receipt details for the matching trip. The exporter uses up to 20 purchase rows.</x:v>
      </x:c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>
      <x:c r="A6" s="191" t="str">
        <x:v>Date</x:v>
      </x:c>
      <x:c r="B6" s="191" t="str">
        <x:v>Trip #</x:v>
      </x:c>
      <x:c r="C6" s="191" t="str">
        <x:v>State</x:v>
      </x:c>
      <x:c r="D6" s="191" t="str">
        <x:v>Invoice number</x:v>
      </x:c>
      <x:c r="E6" s="191" t="str">
        <x:v>Seller</x:v>
      </x:c>
      <x:c r="F6" s="191" t="str">
        <x:v>Truck gallons</x:v>
      </x:c>
      <x:c r="G6" s="191" t="str">
        <x:v>Reefer gallons</x:v>
      </x:c>
      <x:c r="H6" s="191" t="str">
        <x:v>DEF gallons</x:v>
      </x:c>
      <x:c r="I6" s="191" t="str">
        <x:v>Total amount</x:v>
      </x:c>
    </x:row>
    <x:row r="7">
      <x:c r="A7" s="210"/>
      <x:c r="B7" s="193" t="str"/>
      <x:c r="C7" s="193" t="str"/>
      <x:c r="D7" s="193" t="str"/>
      <x:c r="E7" s="193" t="str"/>
      <x:c r="F7" s="213"/>
      <x:c r="G7" s="213"/>
      <x:c r="H7" s="213"/>
      <x:c r="I7" s="216"/>
    </x:row>
    <x:row r="8">
      <x:c r="A8" s="211"/>
      <x:c r="B8" s="196" t="str"/>
      <x:c r="C8" s="196" t="str"/>
      <x:c r="D8" s="196" t="str"/>
      <x:c r="E8" s="196" t="str"/>
      <x:c r="F8" s="214"/>
      <x:c r="G8" s="214"/>
      <x:c r="H8" s="214"/>
      <x:c r="I8" s="217"/>
    </x:row>
    <x:row r="9">
      <x:c r="A9" s="211"/>
      <x:c r="B9" s="196" t="str"/>
      <x:c r="C9" s="196" t="str"/>
      <x:c r="D9" s="196" t="str"/>
      <x:c r="E9" s="196" t="str"/>
      <x:c r="F9" s="214"/>
      <x:c r="G9" s="214"/>
      <x:c r="H9" s="214"/>
      <x:c r="I9" s="217"/>
    </x:row>
    <x:row r="10">
      <x:c r="A10" s="211"/>
      <x:c r="B10" s="196" t="str"/>
      <x:c r="C10" s="196" t="str"/>
      <x:c r="D10" s="196" t="str"/>
      <x:c r="E10" s="196" t="str"/>
      <x:c r="F10" s="214"/>
      <x:c r="G10" s="214"/>
      <x:c r="H10" s="214"/>
      <x:c r="I10" s="217"/>
    </x:row>
    <x:row r="11">
      <x:c r="A11" s="211"/>
      <x:c r="B11" s="196" t="str"/>
      <x:c r="C11" s="196" t="str"/>
      <x:c r="D11" s="196" t="str"/>
      <x:c r="E11" s="196" t="str"/>
      <x:c r="F11" s="214"/>
      <x:c r="G11" s="214"/>
      <x:c r="H11" s="214"/>
      <x:c r="I11" s="217"/>
    </x:row>
    <x:row r="12">
      <x:c r="A12" s="211"/>
      <x:c r="B12" s="196" t="str"/>
      <x:c r="C12" s="196" t="str"/>
      <x:c r="D12" s="196" t="str"/>
      <x:c r="E12" s="196" t="str"/>
      <x:c r="F12" s="214"/>
      <x:c r="G12" s="214"/>
      <x:c r="H12" s="214"/>
      <x:c r="I12" s="217"/>
    </x:row>
    <x:row r="13">
      <x:c r="A13" s="211"/>
      <x:c r="B13" s="196" t="str"/>
      <x:c r="C13" s="196" t="str"/>
      <x:c r="D13" s="196" t="str"/>
      <x:c r="E13" s="196" t="str"/>
      <x:c r="F13" s="214"/>
      <x:c r="G13" s="214"/>
      <x:c r="H13" s="214"/>
      <x:c r="I13" s="217"/>
    </x:row>
    <x:row r="14">
      <x:c r="A14" s="211"/>
      <x:c r="B14" s="196" t="str"/>
      <x:c r="C14" s="196" t="str"/>
      <x:c r="D14" s="196" t="str"/>
      <x:c r="E14" s="196" t="str"/>
      <x:c r="F14" s="214"/>
      <x:c r="G14" s="214"/>
      <x:c r="H14" s="214"/>
      <x:c r="I14" s="217"/>
    </x:row>
    <x:row r="15">
      <x:c r="A15" s="211"/>
      <x:c r="B15" s="196" t="str"/>
      <x:c r="C15" s="196" t="str"/>
      <x:c r="D15" s="196" t="str"/>
      <x:c r="E15" s="196" t="str"/>
      <x:c r="F15" s="214"/>
      <x:c r="G15" s="214"/>
      <x:c r="H15" s="214"/>
      <x:c r="I15" s="217"/>
    </x:row>
    <x:row r="16">
      <x:c r="A16" s="211"/>
      <x:c r="B16" s="196" t="str"/>
      <x:c r="C16" s="196" t="str"/>
      <x:c r="D16" s="196" t="str"/>
      <x:c r="E16" s="196" t="str"/>
      <x:c r="F16" s="214"/>
      <x:c r="G16" s="214"/>
      <x:c r="H16" s="214"/>
      <x:c r="I16" s="217"/>
    </x:row>
    <x:row r="17">
      <x:c r="A17" s="211"/>
      <x:c r="B17" s="196" t="str"/>
      <x:c r="C17" s="196" t="str"/>
      <x:c r="D17" s="196" t="str"/>
      <x:c r="E17" s="196" t="str"/>
      <x:c r="F17" s="214"/>
      <x:c r="G17" s="214"/>
      <x:c r="H17" s="214"/>
      <x:c r="I17" s="217"/>
    </x:row>
    <x:row r="18">
      <x:c r="A18" s="211"/>
      <x:c r="B18" s="196" t="str"/>
      <x:c r="C18" s="196" t="str"/>
      <x:c r="D18" s="196" t="str"/>
      <x:c r="E18" s="196" t="str"/>
      <x:c r="F18" s="214"/>
      <x:c r="G18" s="214"/>
      <x:c r="H18" s="214"/>
      <x:c r="I18" s="217"/>
    </x:row>
    <x:row r="19">
      <x:c r="A19" s="211"/>
      <x:c r="B19" s="196" t="str"/>
      <x:c r="C19" s="196" t="str"/>
      <x:c r="D19" s="196" t="str"/>
      <x:c r="E19" s="196" t="str"/>
      <x:c r="F19" s="214"/>
      <x:c r="G19" s="214"/>
      <x:c r="H19" s="214"/>
      <x:c r="I19" s="217"/>
    </x:row>
    <x:row r="20">
      <x:c r="A20" s="211"/>
      <x:c r="B20" s="196" t="str"/>
      <x:c r="C20" s="196" t="str"/>
      <x:c r="D20" s="196" t="str"/>
      <x:c r="E20" s="196" t="str"/>
      <x:c r="F20" s="214"/>
      <x:c r="G20" s="214"/>
      <x:c r="H20" s="214"/>
      <x:c r="I20" s="217"/>
    </x:row>
    <x:row r="21">
      <x:c r="A21" s="211"/>
      <x:c r="B21" s="196" t="str"/>
      <x:c r="C21" s="196" t="str"/>
      <x:c r="D21" s="196" t="str"/>
      <x:c r="E21" s="196" t="str"/>
      <x:c r="F21" s="214"/>
      <x:c r="G21" s="214"/>
      <x:c r="H21" s="214"/>
      <x:c r="I21" s="217"/>
    </x:row>
    <x:row r="22">
      <x:c r="A22" s="211"/>
      <x:c r="B22" s="196" t="str"/>
      <x:c r="C22" s="196" t="str"/>
      <x:c r="D22" s="196" t="str"/>
      <x:c r="E22" s="196" t="str"/>
      <x:c r="F22" s="214"/>
      <x:c r="G22" s="214"/>
      <x:c r="H22" s="214"/>
      <x:c r="I22" s="217"/>
    </x:row>
    <x:row r="23">
      <x:c r="A23" s="211"/>
      <x:c r="B23" s="196" t="str"/>
      <x:c r="C23" s="196" t="str"/>
      <x:c r="D23" s="196" t="str"/>
      <x:c r="E23" s="196" t="str"/>
      <x:c r="F23" s="214"/>
      <x:c r="G23" s="214"/>
      <x:c r="H23" s="214"/>
      <x:c r="I23" s="217"/>
    </x:row>
    <x:row r="24">
      <x:c r="A24" s="211"/>
      <x:c r="B24" s="196" t="str"/>
      <x:c r="C24" s="196" t="str"/>
      <x:c r="D24" s="196" t="str"/>
      <x:c r="E24" s="196" t="str"/>
      <x:c r="F24" s="214"/>
      <x:c r="G24" s="214"/>
      <x:c r="H24" s="214"/>
      <x:c r="I24" s="217"/>
    </x:row>
    <x:row r="25">
      <x:c r="A25" s="211"/>
      <x:c r="B25" s="196" t="str"/>
      <x:c r="C25" s="196" t="str"/>
      <x:c r="D25" s="196" t="str"/>
      <x:c r="E25" s="196" t="str"/>
      <x:c r="F25" s="214"/>
      <x:c r="G25" s="214"/>
      <x:c r="H25" s="214"/>
      <x:c r="I25" s="217"/>
    </x:row>
    <x:row r="26">
      <x:c r="A26" s="211"/>
      <x:c r="B26" s="196" t="str"/>
      <x:c r="C26" s="196" t="str"/>
      <x:c r="D26" s="196" t="str"/>
      <x:c r="E26" s="196" t="str"/>
      <x:c r="F26" s="214"/>
      <x:c r="G26" s="214"/>
      <x:c r="H26" s="214"/>
      <x:c r="I26" s="217"/>
    </x:row>
    <x:row r="27">
      <x:c r="A27" s="211"/>
      <x:c r="B27" s="196" t="str"/>
      <x:c r="C27" s="196" t="str"/>
      <x:c r="D27" s="196" t="str"/>
      <x:c r="E27" s="196" t="str"/>
      <x:c r="F27" s="214"/>
      <x:c r="G27" s="214"/>
      <x:c r="H27" s="214"/>
      <x:c r="I27" s="217"/>
    </x:row>
    <x:row r="28">
      <x:c r="A28" s="211"/>
      <x:c r="B28" s="196" t="str"/>
      <x:c r="C28" s="196" t="str"/>
      <x:c r="D28" s="196" t="str"/>
      <x:c r="E28" s="196" t="str"/>
      <x:c r="F28" s="214"/>
      <x:c r="G28" s="214"/>
      <x:c r="H28" s="214"/>
      <x:c r="I28" s="217"/>
    </x:row>
    <x:row r="29">
      <x:c r="A29" s="211"/>
      <x:c r="B29" s="196" t="str"/>
      <x:c r="C29" s="196" t="str"/>
      <x:c r="D29" s="196" t="str"/>
      <x:c r="E29" s="196" t="str"/>
      <x:c r="F29" s="214"/>
      <x:c r="G29" s="214"/>
      <x:c r="H29" s="214"/>
      <x:c r="I29" s="217"/>
    </x:row>
    <x:row r="30">
      <x:c r="A30" s="211"/>
      <x:c r="B30" s="196" t="str"/>
      <x:c r="C30" s="196" t="str"/>
      <x:c r="D30" s="196" t="str"/>
      <x:c r="E30" s="196" t="str"/>
      <x:c r="F30" s="214"/>
      <x:c r="G30" s="214"/>
      <x:c r="H30" s="214"/>
      <x:c r="I30" s="217"/>
    </x:row>
    <x:row r="31">
      <x:c r="A31" s="211"/>
      <x:c r="B31" s="196" t="str"/>
      <x:c r="C31" s="196" t="str"/>
      <x:c r="D31" s="196" t="str"/>
      <x:c r="E31" s="196" t="str"/>
      <x:c r="F31" s="214"/>
      <x:c r="G31" s="214"/>
      <x:c r="H31" s="214"/>
      <x:c r="I31" s="217"/>
    </x:row>
    <x:row r="32">
      <x:c r="A32" s="211"/>
      <x:c r="B32" s="196" t="str"/>
      <x:c r="C32" s="196" t="str"/>
      <x:c r="D32" s="196" t="str"/>
      <x:c r="E32" s="196" t="str"/>
      <x:c r="F32" s="214"/>
      <x:c r="G32" s="214"/>
      <x:c r="H32" s="214"/>
      <x:c r="I32" s="217"/>
    </x:row>
    <x:row r="33">
      <x:c r="A33" s="211"/>
      <x:c r="B33" s="196" t="str"/>
      <x:c r="C33" s="196" t="str"/>
      <x:c r="D33" s="196" t="str"/>
      <x:c r="E33" s="196" t="str"/>
      <x:c r="F33" s="214"/>
      <x:c r="G33" s="214"/>
      <x:c r="H33" s="214"/>
      <x:c r="I33" s="217"/>
    </x:row>
    <x:row r="34">
      <x:c r="A34" s="211"/>
      <x:c r="B34" s="196" t="str"/>
      <x:c r="C34" s="196" t="str"/>
      <x:c r="D34" s="196" t="str"/>
      <x:c r="E34" s="196" t="str"/>
      <x:c r="F34" s="214"/>
      <x:c r="G34" s="214"/>
      <x:c r="H34" s="214"/>
      <x:c r="I34" s="217"/>
    </x:row>
    <x:row r="35">
      <x:c r="A35" s="211"/>
      <x:c r="B35" s="196" t="str"/>
      <x:c r="C35" s="196" t="str"/>
      <x:c r="D35" s="196" t="str"/>
      <x:c r="E35" s="196" t="str"/>
      <x:c r="F35" s="214"/>
      <x:c r="G35" s="214"/>
      <x:c r="H35" s="214"/>
      <x:c r="I35" s="217"/>
    </x:row>
    <x:row r="36">
      <x:c r="A36" s="212"/>
      <x:c r="B36" s="199" t="str"/>
      <x:c r="C36" s="199" t="str"/>
      <x:c r="D36" s="199" t="str"/>
      <x:c r="E36" s="199" t="str"/>
      <x:c r="F36" s="215"/>
      <x:c r="G36" s="215"/>
      <x:c r="H36" s="215"/>
      <x:c r="I36" s="218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</x:row>
    <x:row r="38">
      <x:c r="A38" s="220" t="str">
        <x:v>Total fuel and DEF purchases</x:v>
      </x:c>
      <x:c r="B38" s="220"/>
      <x:c r="C38" s="220"/>
      <x:c r="D38" s="220"/>
      <x:c r="E38" s="220"/>
      <x:c r="F38" s="220"/>
      <x:c r="G38" s="220"/>
      <x:c r="H38" s="220"/>
      <x:c r="I38" s="222" t="n">
        <x:f>SUM(I7:I36)</x:f>
        <x:v>0</x:v>
      </x:c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</x:row>
  </x:sheetData>
  <x:mergeCells>
    <x:mergeCell ref="A2:I2"/>
    <x:mergeCell ref="A4:I4"/>
    <x:mergeCell ref="A38:H3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15" hidden="0" customWidth="1"/>
    <x:col min="4" max="4" width="20" hidden="0" customWidth="1"/>
    <x:col min="5" max="5" width="32" hidden="0" customWidth="1"/>
  </x:cols>
  <x:sheetData>
    <x:row r="1">
      <x:c r="A1" s="2"/>
      <x:c r="B1" s="2"/>
      <x:c r="C1" s="2"/>
      <x:c r="D1" s="2"/>
      <x:c r="E1" s="2"/>
    </x:row>
    <x:row r="2">
      <x:c r="A2" s="3" t="str">
        <x:v>Advances and Deductions</x:v>
      </x:c>
      <x:c r="B2" s="2"/>
      <x:c r="C2" s="2"/>
      <x:c r="D2" s="2"/>
      <x:c r="E2" s="2"/>
    </x:row>
    <x:row r="3">
      <x:c r="A3" s="4"/>
      <x:c r="B3" s="4"/>
      <x:c r="C3" s="4"/>
      <x:c r="D3" s="4"/>
      <x:c r="E3" s="4"/>
    </x:row>
    <x:row r="4">
      <x:c r="A4" s="143" t="str">
        <x:v>Enter company advances, payroll deductions, or settlement deductions by trip.</x:v>
      </x:c>
      <x:c r="B4" s="2"/>
      <x:c r="C4" s="2"/>
      <x:c r="D4" s="2"/>
      <x:c r="E4" s="2"/>
    </x:row>
    <x:row r="5">
      <x:c r="A5" s="2"/>
      <x:c r="B5" s="2"/>
      <x:c r="C5" s="2"/>
      <x:c r="D5" s="2"/>
      <x:c r="E5" s="2"/>
    </x:row>
    <x:row r="6">
      <x:c r="A6" s="191" t="str">
        <x:v>Date</x:v>
      </x:c>
      <x:c r="B6" s="191" t="str">
        <x:v>Trip #</x:v>
      </x:c>
      <x:c r="C6" s="191" t="str">
        <x:v>Amount</x:v>
      </x:c>
      <x:c r="D6" s="191" t="str">
        <x:v>Type</x:v>
      </x:c>
      <x:c r="E6" s="191" t="str">
        <x:v>Notes</x:v>
      </x:c>
    </x:row>
    <x:row r="7">
      <x:c r="A7" s="210"/>
      <x:c r="B7" s="193" t="str"/>
      <x:c r="C7" s="223"/>
      <x:c r="D7" s="193" t="str"/>
      <x:c r="E7" s="194" t="str"/>
    </x:row>
    <x:row r="8">
      <x:c r="A8" s="211"/>
      <x:c r="B8" s="196" t="str"/>
      <x:c r="C8" s="224"/>
      <x:c r="D8" s="196" t="str"/>
      <x:c r="E8" s="197" t="str"/>
    </x:row>
    <x:row r="9">
      <x:c r="A9" s="211"/>
      <x:c r="B9" s="196" t="str"/>
      <x:c r="C9" s="224"/>
      <x:c r="D9" s="196" t="str"/>
      <x:c r="E9" s="197" t="str"/>
    </x:row>
    <x:row r="10">
      <x:c r="A10" s="211"/>
      <x:c r="B10" s="196" t="str"/>
      <x:c r="C10" s="224"/>
      <x:c r="D10" s="196" t="str"/>
      <x:c r="E10" s="197" t="str"/>
    </x:row>
    <x:row r="11">
      <x:c r="A11" s="211"/>
      <x:c r="B11" s="196" t="str"/>
      <x:c r="C11" s="224"/>
      <x:c r="D11" s="196" t="str"/>
      <x:c r="E11" s="197" t="str"/>
    </x:row>
    <x:row r="12">
      <x:c r="A12" s="211"/>
      <x:c r="B12" s="196" t="str"/>
      <x:c r="C12" s="224"/>
      <x:c r="D12" s="196" t="str"/>
      <x:c r="E12" s="197" t="str"/>
    </x:row>
    <x:row r="13">
      <x:c r="A13" s="211"/>
      <x:c r="B13" s="196" t="str"/>
      <x:c r="C13" s="224"/>
      <x:c r="D13" s="196" t="str"/>
      <x:c r="E13" s="197" t="str"/>
    </x:row>
    <x:row r="14">
      <x:c r="A14" s="211"/>
      <x:c r="B14" s="196" t="str"/>
      <x:c r="C14" s="224"/>
      <x:c r="D14" s="196" t="str"/>
      <x:c r="E14" s="197" t="str"/>
    </x:row>
    <x:row r="15">
      <x:c r="A15" s="211"/>
      <x:c r="B15" s="196" t="str"/>
      <x:c r="C15" s="224"/>
      <x:c r="D15" s="196" t="str"/>
      <x:c r="E15" s="197" t="str"/>
    </x:row>
    <x:row r="16">
      <x:c r="A16" s="211"/>
      <x:c r="B16" s="196" t="str"/>
      <x:c r="C16" s="224"/>
      <x:c r="D16" s="196" t="str"/>
      <x:c r="E16" s="197" t="str"/>
    </x:row>
    <x:row r="17">
      <x:c r="A17" s="211"/>
      <x:c r="B17" s="196" t="str"/>
      <x:c r="C17" s="224"/>
      <x:c r="D17" s="196" t="str"/>
      <x:c r="E17" s="197" t="str"/>
    </x:row>
    <x:row r="18">
      <x:c r="A18" s="211"/>
      <x:c r="B18" s="196" t="str"/>
      <x:c r="C18" s="224"/>
      <x:c r="D18" s="196" t="str"/>
      <x:c r="E18" s="197" t="str"/>
    </x:row>
    <x:row r="19">
      <x:c r="A19" s="211"/>
      <x:c r="B19" s="196" t="str"/>
      <x:c r="C19" s="224"/>
      <x:c r="D19" s="196" t="str"/>
      <x:c r="E19" s="197" t="str"/>
    </x:row>
    <x:row r="20">
      <x:c r="A20" s="211"/>
      <x:c r="B20" s="196" t="str"/>
      <x:c r="C20" s="224"/>
      <x:c r="D20" s="196" t="str"/>
      <x:c r="E20" s="197" t="str"/>
    </x:row>
    <x:row r="21">
      <x:c r="A21" s="211"/>
      <x:c r="B21" s="196" t="str"/>
      <x:c r="C21" s="224"/>
      <x:c r="D21" s="196" t="str"/>
      <x:c r="E21" s="197" t="str"/>
    </x:row>
    <x:row r="22">
      <x:c r="A22" s="211"/>
      <x:c r="B22" s="196" t="str"/>
      <x:c r="C22" s="224"/>
      <x:c r="D22" s="196" t="str"/>
      <x:c r="E22" s="197" t="str"/>
    </x:row>
    <x:row r="23">
      <x:c r="A23" s="211"/>
      <x:c r="B23" s="196" t="str"/>
      <x:c r="C23" s="224"/>
      <x:c r="D23" s="196" t="str"/>
      <x:c r="E23" s="197" t="str"/>
    </x:row>
    <x:row r="24">
      <x:c r="A24" s="211"/>
      <x:c r="B24" s="196" t="str"/>
      <x:c r="C24" s="224"/>
      <x:c r="D24" s="196" t="str"/>
      <x:c r="E24" s="197" t="str"/>
    </x:row>
    <x:row r="25">
      <x:c r="A25" s="211"/>
      <x:c r="B25" s="196" t="str"/>
      <x:c r="C25" s="224"/>
      <x:c r="D25" s="196" t="str"/>
      <x:c r="E25" s="197" t="str"/>
    </x:row>
    <x:row r="26">
      <x:c r="A26" s="212"/>
      <x:c r="B26" s="199" t="str"/>
      <x:c r="C26" s="225"/>
      <x:c r="D26" s="199" t="str"/>
      <x:c r="E26" s="200" t="str"/>
    </x:row>
    <x:row r="27">
      <x:c r="A27" s="2"/>
      <x:c r="B27" s="2"/>
      <x:c r="C27" s="2"/>
      <x:c r="D27" s="2"/>
      <x:c r="E27" s="2"/>
    </x:row>
    <x:row r="28">
      <x:c r="A28" s="220" t="str">
        <x:v>Total advances and deductions</x:v>
      </x:c>
      <x:c r="B28" s="220"/>
      <x:c r="C28" s="222" t="n">
        <x:f>SUM(C7:C26)</x:f>
        <x:v>0</x:v>
      </x:c>
      <x:c r="D28" s="2"/>
      <x:c r="E28" s="2"/>
    </x:row>
    <x:row r="29">
      <x:c r="A29" s="2"/>
      <x:c r="B29" s="2"/>
      <x:c r="C29" s="2"/>
      <x:c r="D29" s="2"/>
      <x:c r="E29" s="2"/>
    </x:row>
    <x:row r="30">
      <x:c r="A30" s="2"/>
      <x:c r="B30" s="2"/>
      <x:c r="C30" s="2"/>
      <x:c r="D30" s="2"/>
      <x:c r="E30" s="2"/>
    </x:row>
  </x:sheetData>
  <x:mergeCells>
    <x:mergeCell ref="A2:E2"/>
    <x:mergeCell ref="A4:E4"/>
    <x:mergeCell ref="A28:B28"/>
  </x:mergeCells>
  <x:dataValidations count="1">
    <x:dataValidation type="list" sqref="D7:D26">
      <x:formula1>"Cash advance,EFS advance,COM check,Payroll deduction,Other deduction"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32" hidden="0" customWidth="1"/>
    <x:col min="4" max="4" width="35" hidden="0" customWidth="1"/>
  </x:cols>
  <x:sheetData>
    <x:row r="1">
      <x:c r="A1" s="2"/>
      <x:c r="B1" s="2"/>
      <x:c r="C1" s="2"/>
      <x:c r="D1" s="2"/>
    </x:row>
    <x:row r="2">
      <x:c r="A2" s="3" t="str">
        <x:v>PDF Field Mapping</x:v>
      </x:c>
      <x:c r="B2" s="2"/>
      <x:c r="C2" s="2"/>
      <x:c r="D2" s="2"/>
    </x:row>
    <x:row r="3">
      <x:c r="A3" s="4"/>
      <x:c r="B3" s="4"/>
      <x:c r="C3" s="4"/>
      <x:c r="D3" s="4"/>
    </x:row>
    <x:row r="4">
      <x:c r="A4" s="143" t="str">
        <x:v>The exporter reads the selected trip from Weekly Pay N4 and fills the original two-page PDF without changing its page artwork.</x:v>
      </x:c>
      <x:c r="B4" s="2"/>
      <x:c r="C4" s="2"/>
      <x:c r="D4" s="2"/>
    </x:row>
    <x:row r="5">
      <x:c r="A5" s="2"/>
      <x:c r="B5" s="2"/>
      <x:c r="C5" s="2"/>
      <x:c r="D5" s="2"/>
    </x:row>
    <x:row r="6">
      <x:c r="A6" s="191" t="str">
        <x:v>Section</x:v>
      </x:c>
      <x:c r="B6" s="191" t="str">
        <x:v>Excel source</x:v>
      </x:c>
      <x:c r="C6" s="191" t="str">
        <x:v>PDF field(s)</x:v>
      </x:c>
      <x:c r="D6" s="191" t="str">
        <x:v>Export rule</x:v>
      </x:c>
    </x:row>
    <x:row r="7" ht="27" customHeight="1">
      <x:c r="A7" s="229" t="str">
        <x:v>Identification</x:v>
      </x:c>
      <x:c r="B7" s="229" t="str">
        <x:v>Weekly Pay B4</x:v>
      </x:c>
      <x:c r="C7" s="229" t="str">
        <x:v>driver_name</x:v>
      </x:c>
      <x:c r="D7" s="229" t="str">
        <x:v>Driver name</x:v>
      </x:c>
    </x:row>
    <x:row r="8" ht="27" customHeight="1">
      <x:c r="A8" s="230" t="str">
        <x:v>Identification</x:v>
      </x:c>
      <x:c r="B8" s="230" t="str">
        <x:v>Weekly Pay row: Truck</x:v>
      </x:c>
      <x:c r="C8" s="230" t="str">
        <x:v>truck_number</x:v>
      </x:c>
      <x:c r="D8" s="230" t="str">
        <x:v>Selected trip row</x:v>
      </x:c>
    </x:row>
    <x:row r="9" ht="27" customHeight="1">
      <x:c r="A9" s="230" t="str">
        <x:v>Identification</x:v>
      </x:c>
      <x:c r="B9" s="230" t="str">
        <x:v>Weekly Pay row: Trailer</x:v>
      </x:c>
      <x:c r="C9" s="230" t="str">
        <x:v>trailer_number</x:v>
      </x:c>
      <x:c r="D9" s="230" t="str">
        <x:v>Selected trip row</x:v>
      </x:c>
    </x:row>
    <x:row r="10" ht="27" customHeight="1">
      <x:c r="A10" s="230" t="str">
        <x:v>Identification</x:v>
      </x:c>
      <x:c r="B10" s="230" t="str">
        <x:v>Weekly Pay row: Trip #</x:v>
      </x:c>
      <x:c r="C10" s="230" t="str">
        <x:v>trip_number</x:v>
      </x:c>
      <x:c r="D10" s="230" t="str">
        <x:v>Selected trip row</x:v>
      </x:c>
    </x:row>
    <x:row r="11" ht="27" customHeight="1">
      <x:c r="A11" s="230" t="str">
        <x:v>Identification</x:v>
      </x:c>
      <x:c r="B11" s="230" t="str">
        <x:v>Weekly Pay row: Begin/End odo</x:v>
      </x:c>
      <x:c r="C11" s="230" t="str">
        <x:v>beginning_odometer / ending_odometer</x:v>
      </x:c>
      <x:c r="D11" s="230" t="str">
        <x:v>Whole miles</x:v>
      </x:c>
    </x:row>
    <x:row r="12" ht="27" customHeight="1">
      <x:c r="A12" s="230" t="str">
        <x:v>Identification</x:v>
      </x:c>
      <x:c r="B12" s="230" t="str">
        <x:v>Weekly Pay row: Pickup/Delivery</x:v>
      </x:c>
      <x:c r="C12" s="230" t="str">
        <x:v>start_date / end_date</x:v>
      </x:c>
      <x:c r="D12" s="230" t="str">
        <x:v>mm-dd-yyyy</x:v>
      </x:c>
    </x:row>
    <x:row r="13" ht="27" customHeight="1">
      <x:c r="A13" s="230" t="str">
        <x:v>Reference</x:v>
      </x:c>
      <x:c r="B13" s="230" t="str">
        <x:v>Weekly Pay row: PRO / BOL</x:v>
      </x:c>
      <x:c r="C13" s="230" t="str">
        <x:v>No matching PDF field</x:v>
      </x:c>
      <x:c r="D13" s="230" t="str">
        <x:v>Kept in Excel only</x:v>
      </x:c>
    </x:row>
    <x:row r="14" ht="27" customHeight="1">
      <x:c r="A14" s="230" t="str">
        <x:v>Routes</x:v>
      </x:c>
      <x:c r="B14" s="230" t="str">
        <x:v>Routes rows by trip and stop order</x:v>
      </x:c>
      <x:c r="C14" s="230" t="str">
        <x:v>route_1_from ... route_10_to</x:v>
      </x:c>
      <x:c r="D14" s="230" t="str">
        <x:v>Up to 10 pairs</x:v>
      </x:c>
    </x:row>
    <x:row r="15" ht="27" customHeight="1">
      <x:c r="A15" s="230" t="str">
        <x:v>State miles</x:v>
      </x:c>
      <x:c r="B15" s="230" t="str">
        <x:v>State Miles rows by trip</x:v>
      </x:c>
      <x:c r="C15" s="230" t="str">
        <x:v>left/right state, miles, highways</x:v>
      </x:c>
      <x:c r="D15" s="230" t="str">
        <x:v>Up to 40 rows</x:v>
      </x:c>
    </x:row>
    <x:row r="16" ht="27" customHeight="1">
      <x:c r="A16" s="230" t="str">
        <x:v>State miles</x:v>
      </x:c>
      <x:c r="B16" s="230" t="str">
        <x:v>State-mile sum</x:v>
      </x:c>
      <x:c r="C16" s="230" t="str">
        <x:v>left_state_miles_total</x:v>
      </x:c>
      <x:c r="D16" s="230" t="str">
        <x:v>Right total remains blank</x:v>
      </x:c>
    </x:row>
    <x:row r="17" ht="27" customHeight="1">
      <x:c r="A17" s="230" t="str">
        <x:v>Fuel</x:v>
      </x:c>
      <x:c r="B17" s="230" t="str">
        <x:v>Fuel &amp; DEF rows by trip</x:v>
      </x:c>
      <x:c r="C17" s="230" t="str">
        <x:v>fuel_1_* ... fuel_20_*</x:v>
      </x:c>
      <x:c r="D17" s="230" t="str">
        <x:v>Up to 20 purchases</x:v>
      </x:c>
    </x:row>
    <x:row r="18" ht="27" customHeight="1">
      <x:c r="A18" s="230" t="str">
        <x:v>Fuel</x:v>
      </x:c>
      <x:c r="B18" s="230" t="str">
        <x:v>Fuel &amp; DEF Total amount</x:v>
      </x:c>
      <x:c r="C18" s="230" t="str">
        <x:v>fuel_total</x:v>
      </x:c>
      <x:c r="D18" s="230" t="str">
        <x:v>Sum of known amounts</x:v>
      </x:c>
    </x:row>
    <x:row r="19" ht="27" customHeight="1">
      <x:c r="A19" s="230" t="str">
        <x:v>Expenses</x:v>
      </x:c>
      <x:c r="B19" s="230" t="str">
        <x:v>Expenses: Scale</x:v>
      </x:c>
      <x:c r="C19" s="230" t="str">
        <x:v>expense_scales</x:v>
      </x:c>
      <x:c r="D19" s="230" t="str">
        <x:v>Category total</x:v>
      </x:c>
    </x:row>
    <x:row r="20" ht="27" customHeight="1">
      <x:c r="A20" s="230" t="str">
        <x:v>Expenses</x:v>
      </x:c>
      <x:c r="B20" s="230" t="str">
        <x:v>Expenses: Toll</x:v>
      </x:c>
      <x:c r="C20" s="230" t="str">
        <x:v>expense_tolls</x:v>
      </x:c>
      <x:c r="D20" s="230" t="str">
        <x:v>Category total</x:v>
      </x:c>
    </x:row>
    <x:row r="21" ht="27" customHeight="1">
      <x:c r="A21" s="230" t="str">
        <x:v>Expenses</x:v>
      </x:c>
      <x:c r="B21" s="230" t="str">
        <x:v>Expenses: Repair</x:v>
      </x:c>
      <x:c r="C21" s="230" t="str">
        <x:v>expense_repairs</x:v>
      </x:c>
      <x:c r="D21" s="230" t="str">
        <x:v>Category total</x:v>
      </x:c>
    </x:row>
    <x:row r="22" ht="27" customHeight="1">
      <x:c r="A22" s="230" t="str">
        <x:v>Expenses</x:v>
      </x:c>
      <x:c r="B22" s="230" t="str">
        <x:v>Expenses: Lumper</x:v>
      </x:c>
      <x:c r="C22" s="230" t="str">
        <x:v>expense_lumpers</x:v>
      </x:c>
      <x:c r="D22" s="230" t="str">
        <x:v>Category total</x:v>
      </x:c>
    </x:row>
    <x:row r="23" ht="27" customHeight="1">
      <x:c r="A23" s="230" t="str">
        <x:v>Expenses</x:v>
      </x:c>
      <x:c r="B23" s="230" t="str">
        <x:v>Parking/Supplies/Other</x:v>
      </x:c>
      <x:c r="C23" s="230" t="str">
        <x:v>expense_other</x:v>
      </x:c>
      <x:c r="D23" s="230" t="str">
        <x:v>Descriptions plus known total</x:v>
      </x:c>
    </x:row>
    <x:row r="24" ht="27" customHeight="1">
      <x:c r="A24" s="230" t="str">
        <x:v>Expenses</x:v>
      </x:c>
      <x:c r="B24" s="230" t="str">
        <x:v>All expense amounts</x:v>
      </x:c>
      <x:c r="C24" s="230" t="str">
        <x:v>expense_total</x:v>
      </x:c>
      <x:c r="D24" s="230" t="str">
        <x:v>Known amounts only</x:v>
      </x:c>
    </x:row>
    <x:row r="25" ht="27" customHeight="1">
      <x:c r="A25" s="230" t="str">
        <x:v>Advances</x:v>
      </x:c>
      <x:c r="B25" s="230" t="str">
        <x:v>Advances rows by trip</x:v>
      </x:c>
      <x:c r="C25" s="230" t="str">
        <x:v>advance_1_* ... advance_7_*</x:v>
      </x:c>
      <x:c r="D25" s="230" t="str">
        <x:v>Up to 7 rows</x:v>
      </x:c>
    </x:row>
    <x:row r="26" ht="27" customHeight="1">
      <x:c r="A26" s="230" t="str">
        <x:v>Advances</x:v>
      </x:c>
      <x:c r="B26" s="230" t="str">
        <x:v>Advance amount total</x:v>
      </x:c>
      <x:c r="C26" s="230" t="str">
        <x:v>advance_total</x:v>
      </x:c>
      <x:c r="D26" s="230" t="str">
        <x:v>Sum of amounts</x:v>
      </x:c>
    </x:row>
    <x:row r="27" ht="27" customHeight="1">
      <x:c r="A27" s="230" t="str">
        <x:v>Driver pay</x:v>
      </x:c>
      <x:c r="B27" s="230" t="str">
        <x:v>Paid miles x rate</x:v>
      </x:c>
      <x:c r="C27" s="230" t="str">
        <x:v>total_miles_pay</x:v>
      </x:c>
      <x:c r="D27" s="230" t="str">
        <x:v>Calculated from Excel inputs</x:v>
      </x:c>
    </x:row>
    <x:row r="28" ht="27" customHeight="1">
      <x:c r="A28" s="230" t="str">
        <x:v>Driver pay</x:v>
      </x:c>
      <x:c r="B28" s="230" t="str">
        <x:v>Extra-stop pay</x:v>
      </x:c>
      <x:c r="C28" s="230" t="str">
        <x:v>total_extra_stops_pay</x:v>
      </x:c>
      <x:c r="D28" s="230" t="str">
        <x:v>Selected trip row</x:v>
      </x:c>
    </x:row>
    <x:row r="29" ht="27" customHeight="1">
      <x:c r="A29" s="230" t="str">
        <x:v>Driver pay</x:v>
      </x:c>
      <x:c r="B29" s="230" t="str">
        <x:v>Detention / layover</x:v>
      </x:c>
      <x:c r="C29" s="230" t="str">
        <x:v>total_layover_pay</x:v>
      </x:c>
      <x:c r="D29" s="230" t="str">
        <x:v>Selected trip row</x:v>
      </x:c>
    </x:row>
    <x:row r="30" ht="27" customHeight="1">
      <x:c r="A30" s="230" t="str">
        <x:v>Driver pay</x:v>
      </x:c>
      <x:c r="B30" s="230" t="str">
        <x:v>Advances total</x:v>
      </x:c>
      <x:c r="C30" s="230" t="str">
        <x:v>total_money_received</x:v>
      </x:c>
      <x:c r="D30" s="230" t="str">
        <x:v>Money advanced</x:v>
      </x:c>
    </x:row>
    <x:row r="31" ht="27" customHeight="1">
      <x:c r="A31" s="230" t="str">
        <x:v>Driver pay</x:v>
      </x:c>
      <x:c r="B31" s="230" t="str">
        <x:v>Expenses total</x:v>
      </x:c>
      <x:c r="C31" s="230" t="str">
        <x:v>total_money_spent</x:v>
      </x:c>
      <x:c r="D31" s="230" t="str">
        <x:v>Known out-of-pocket expenses</x:v>
      </x:c>
    </x:row>
    <x:row r="32" ht="27" customHeight="1">
      <x:c r="A32" s="230" t="str">
        <x:v>Driver pay</x:v>
      </x:c>
      <x:c r="B32" s="230" t="str">
        <x:v>Advances minus expenses</x:v>
      </x:c>
      <x:c r="C32" s="230" t="str">
        <x:v>money_left_on_hand</x:v>
      </x:c>
      <x:c r="D32" s="230" t="str">
        <x:v>Cash reconciliation</x:v>
      </x:c>
    </x:row>
    <x:row r="33" ht="27" customHeight="1">
      <x:c r="A33" s="230" t="str">
        <x:v>Driver pay</x:v>
      </x:c>
      <x:c r="B33" s="230" t="str">
        <x:v>Gross + reimbursement - deductions</x:v>
      </x:c>
      <x:c r="C33" s="230" t="str">
        <x:v>total_pay_to_driver</x:v>
      </x:c>
      <x:c r="D33" s="230" t="str">
        <x:v>Tax reserve is excluded</x:v>
      </x:c>
    </x:row>
    <x:row r="34" ht="27" customHeight="1">
      <x:c r="A34" s="230" t="str">
        <x:v>Tax</x:v>
      </x:c>
      <x:c r="B34" s="230" t="str">
        <x:v>Weekly Pay tax reserve</x:v>
      </x:c>
      <x:c r="C34" s="230" t="str">
        <x:v>No matching PDF field</x:v>
      </x:c>
      <x:c r="D34" s="230" t="str">
        <x:v>Kept in Excel only</x:v>
      </x:c>
    </x:row>
    <x:row r="35" ht="27" customHeight="1">
      <x:c r="A35" s="231" t="str">
        <x:v>Signature</x:v>
      </x:c>
      <x:c r="B35" s="231" t="str">
        <x:v>Not generated</x:v>
      </x:c>
      <x:c r="C35" s="231" t="str">
        <x:v>driver_signature</x:v>
      </x:c>
      <x:c r="D35" s="231" t="str">
        <x:v>Left unchanged/blank; exporter does not sign</x:v>
      </x:c>
    </x:row>
    <x:row r="36">
      <x:c r="A36" s="2"/>
      <x:c r="B36" s="2"/>
      <x:c r="C36" s="2"/>
      <x:c r="D36" s="2"/>
    </x:row>
    <x:row r="37">
      <x:c r="A37" s="2"/>
      <x:c r="B37" s="2"/>
      <x:c r="C37" s="2"/>
      <x:c r="D37" s="2"/>
    </x:row>
    <x:row r="38">
      <x:c r="A38" s="2"/>
      <x:c r="B38" s="2"/>
      <x:c r="C38" s="2"/>
      <x:c r="D38" s="2"/>
    </x:row>
    <x:row r="39">
      <x:c r="A39" s="2"/>
      <x:c r="B39" s="2"/>
      <x:c r="C39" s="2"/>
      <x:c r="D39" s="2"/>
    </x:row>
    <x:row r="40">
      <x:c r="A40" s="2"/>
      <x:c r="B40" s="2"/>
      <x:c r="C40" s="2"/>
      <x:c r="D40" s="2"/>
    </x:row>
    <x:row r="41">
      <x:c r="A41" s="2"/>
      <x:c r="B41" s="2"/>
      <x:c r="C41" s="2"/>
      <x:c r="D41" s="2"/>
    </x:row>
    <x:row r="42">
      <x:c r="A42" s="2"/>
      <x:c r="B42" s="2"/>
      <x:c r="C42" s="2"/>
      <x:c r="D42" s="2"/>
    </x:row>
    <x:row r="43">
      <x:c r="A43" s="2"/>
      <x:c r="B43" s="2"/>
      <x:c r="C43" s="2"/>
      <x:c r="D43" s="2"/>
    </x:row>
    <x:row r="44">
      <x:c r="A44" s="2"/>
      <x:c r="B44" s="2"/>
      <x:c r="C44" s="2"/>
      <x:c r="D44" s="2"/>
    </x:row>
    <x:row r="45">
      <x:c r="A45" s="2"/>
      <x:c r="B45" s="2"/>
      <x:c r="C45" s="2"/>
      <x:c r="D45" s="2"/>
    </x:row>
  </x:sheetData>
  <x:mergeCells>
    <x:mergeCell ref="A2:D2"/>
    <x:mergeCell ref="A4:D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8064A2"/>
  </x:sheetPr>
  <x:sheetViews>
    <x:sheetView showGridLines="0" workbookViewId="0"/>
  </x:sheetViews>
  <x:sheetFormatPr defaultRowHeight="15"/>
  <x:cols>
    <x:col min="1" max="1" width="9" hidden="0" customWidth="1"/>
    <x:col min="2" max="2" width="86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Export Settlement PDF</x:v>
      </x:c>
      <x:c r="B2" s="2"/>
      <x:c r="C2" s="2"/>
      <x:c r="D2" s="2"/>
      <x:c r="E2" s="2"/>
      <x:c r="F2" s="2"/>
    </x:row>
    <x:row r="3">
      <x:c r="A3" s="4"/>
      <x:c r="B3" s="4"/>
      <x:c r="C3" s="4"/>
      <x:c r="D3" s="4"/>
      <x:c r="E3" s="4"/>
      <x:c r="F3" s="4"/>
    </x:row>
    <x:row r="4">
      <x:c r="A4" s="2"/>
      <x:c r="B4" s="2"/>
      <x:c r="C4" s="2"/>
      <x:c r="D4" s="2"/>
      <x:c r="E4" s="2"/>
      <x:c r="F4" s="2"/>
    </x:row>
    <x:row r="5">
      <x:c r="A5" s="191" t="str">
        <x:v>Step</x:v>
      </x:c>
      <x:c r="B5" s="191" t="str">
        <x:v>Action</x:v>
      </x:c>
      <x:c r="C5" s="2"/>
      <x:c r="D5" s="2"/>
      <x:c r="E5" s="2"/>
      <x:c r="F5" s="2"/>
    </x:row>
    <x:row r="6" ht="32" customHeight="1">
      <x:c r="A6" s="229" t="str">
        <x:v>1</x:v>
      </x:c>
      <x:c r="B6" s="229" t="str">
        <x:v>Enter or review the trip on Weekly Pay.</x:v>
      </x:c>
      <x:c r="C6" s="2"/>
      <x:c r="D6" s="2"/>
      <x:c r="E6" s="2"/>
      <x:c r="F6" s="2"/>
    </x:row>
    <x:row r="7" ht="32" customHeight="1">
      <x:c r="A7" s="230" t="str">
        <x:v>2</x:v>
      </x:c>
      <x:c r="B7" s="230" t="str">
        <x:v>Enter route stops, state miles, fuel/DEF, expenses, and advances on their matching sheets.</x:v>
      </x:c>
      <x:c r="C7" s="2"/>
      <x:c r="D7" s="2"/>
      <x:c r="E7" s="2"/>
      <x:c r="F7" s="2"/>
    </x:row>
    <x:row r="8" ht="32" customHeight="1">
      <x:c r="A8" s="230" t="str">
        <x:v>3</x:v>
      </x:c>
      <x:c r="B8" s="230" t="str">
        <x:v>Choose the trip number in Weekly Pay N4.</x:v>
      </x:c>
      <x:c r="C8" s="2"/>
      <x:c r="D8" s="2"/>
      <x:c r="E8" s="2"/>
      <x:c r="F8" s="2"/>
    </x:row>
    <x:row r="9" ht="32" customHeight="1">
      <x:c r="A9" s="230" t="str">
        <x:v>4</x:v>
      </x:c>
      <x:c r="B9" s="230" t="str">
        <x:v>Save and close the Excel workbook so the exporter reads the latest values.</x:v>
      </x:c>
      <x:c r="C9" s="2"/>
      <x:c r="D9" s="2"/>
      <x:c r="E9" s="2"/>
      <x:c r="F9" s="2"/>
    </x:row>
    <x:row r="10" ht="32" customHeight="1">
      <x:c r="A10" s="230" t="str">
        <x:v>5</x:v>
      </x:c>
      <x:c r="B10" s="230" t="str">
        <x:v>Place the workbook, Settlement_Template.pdf, export_settlement.py, and batch files in the same folder.</x:v>
      </x:c>
      <x:c r="C10" s="2"/>
      <x:c r="D10" s="2"/>
      <x:c r="E10" s="2"/>
      <x:c r="F10" s="2"/>
    </x:row>
    <x:row r="11" ht="32" customHeight="1">
      <x:c r="A11" s="230" t="str">
        <x:v>6</x:v>
      </x:c>
      <x:c r="B11" s="230" t="str">
        <x:v>Double-click Export_Settlement.bat for one trip or Export_All_Trips.bat for the week.</x:v>
      </x:c>
      <x:c r="C11" s="2"/>
      <x:c r="D11" s="2"/>
      <x:c r="E11" s="2"/>
      <x:c r="F11" s="2"/>
    </x:row>
    <x:row r="12" ht="32" customHeight="1">
      <x:c r="A12" s="230" t="str">
        <x:v>7</x:v>
      </x:c>
      <x:c r="B12" s="230" t="str">
        <x:v>Review any mileage or missing-receipt warning and confirm before continuing.</x:v>
      </x:c>
      <x:c r="C12" s="2"/>
      <x:c r="D12" s="2"/>
      <x:c r="E12" s="2"/>
      <x:c r="F12" s="2"/>
    </x:row>
    <x:row r="13" ht="32" customHeight="1">
      <x:c r="A13" s="231" t="str">
        <x:v>8</x:v>
      </x:c>
      <x:c r="B13" s="231" t="str">
        <x:v>Find the fillable and ready-to-email PDFs in the Exports folder.</x:v>
      </x:c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>
      <x:c r="A15" s="233" t="str">
        <x:v>The exporter never changes mileage to force a match and never creates or alters a signature.</x:v>
      </x:c>
      <x:c r="B15" s="2"/>
      <x:c r="C15" s="2"/>
      <x:c r="D15" s="2"/>
      <x:c r="E15" s="2"/>
      <x:c r="F15" s="2"/>
    </x:row>
    <x:row r="16" ht="34" customHeight="1">
      <x:c r="A16" s="234" t="str">
        <x:v>The visible signature mark in the supplied PDF is part of that template artwork. Replace Settlement_Template.pdf with a clean unsigned copy when available.</x:v>
      </x:c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</x:sheetData>
  <x:mergeCells>
    <x:mergeCell ref="A2:F2"/>
    <x:mergeCell ref="A15:F15"/>
    <x:mergeCell ref="A16:F16"/>
  </x:mergeCells>
  <x:pageMargins left="0.7" right="0.7" top="0.75" bottom="0.75" header="0.3" footer="0.3"/>
</x:worksheet>
</file>